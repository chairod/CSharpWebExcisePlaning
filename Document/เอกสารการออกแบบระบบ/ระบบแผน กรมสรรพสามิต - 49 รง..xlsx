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Document\เอกสารการออกแบบระบบ\"/>
    </mc:Choice>
  </mc:AlternateContent>
  <bookViews>
    <workbookView xWindow="0" yWindow="0" windowWidth="23040" windowHeight="8796" firstSheet="44" activeTab="49"/>
  </bookViews>
  <sheets>
    <sheet name="Sheet1" sheetId="59" r:id="rId1"/>
    <sheet name="ค่าเช่าบ้าน" sheetId="33" r:id="rId2"/>
    <sheet name="สปพ" sheetId="34" r:id="rId3"/>
    <sheet name="นอกเวลา" sheetId="1" r:id="rId4"/>
    <sheet name="รถประตำแหน่ง " sheetId="36" r:id="rId5"/>
    <sheet name="เงินสมทบประกันสังคม " sheetId="37" r:id="rId6"/>
    <sheet name="เงินกองทุนทดแทน" sheetId="35" r:id="rId7"/>
    <sheet name="ค่าเบี้ยเลี้ยง" sheetId="3" r:id="rId8"/>
    <sheet name="ยานพาหนะ" sheetId="6" r:id="rId9"/>
    <sheet name="ภาคใต้" sheetId="24" state="hidden" r:id="rId10"/>
    <sheet name="อุตสาหกรรม" sheetId="25" state="hidden" r:id="rId11"/>
    <sheet name="ค่าเบี้ยประชุม" sheetId="26" state="hidden" r:id="rId12"/>
    <sheet name="เกษียณ" sheetId="2" state="hidden" r:id="rId13"/>
    <sheet name="ครุภัณฑ์ " sheetId="38" r:id="rId14"/>
    <sheet name="สิ่งก่อสร้าง " sheetId="39" r:id="rId15"/>
    <sheet name="ค่าเช่าทรัพย์สิน" sheetId="5" r:id="rId16"/>
    <sheet name="เหมาบริการ" sheetId="8" r:id="rId17"/>
    <sheet name="ค่าจำกัดปลวก" sheetId="32" r:id="rId18"/>
    <sheet name="MA" sheetId="27" r:id="rId19"/>
    <sheet name="แสตมป์" sheetId="40" r:id="rId20"/>
    <sheet name="ค่าจ้างเหมาบริการอื่นๆ " sheetId="42" r:id="rId21"/>
    <sheet name="อบรมสัมมา" sheetId="41" r:id="rId22"/>
    <sheet name="โฆษณาและเผยแพร่" sheetId="4" r:id="rId23"/>
    <sheet name="เครื่องปรับอากาศ" sheetId="43" r:id="rId24"/>
    <sheet name="ค่าใช้สอยอื่นๆ " sheetId="44" r:id="rId25"/>
    <sheet name="ค่าธรรมเนียมศาล" sheetId="10" r:id="rId26"/>
    <sheet name="วัสดุสำนักงาน" sheetId="11" r:id="rId27"/>
    <sheet name="วัสดุเชื้อเพลิง" sheetId="12" r:id="rId28"/>
    <sheet name="วัสดุไฟฟ้า " sheetId="46" r:id="rId29"/>
    <sheet name="วัสดุวิทยาศาสตร์ " sheetId="47" r:id="rId30"/>
    <sheet name="วัสดุคอมพิวเตอร์" sheetId="45" r:id="rId31"/>
    <sheet name="วัสดุยานพาหนะ" sheetId="48" r:id="rId32"/>
    <sheet name="วัสดุอื่นๆ" sheetId="49" r:id="rId33"/>
    <sheet name="ค่าสาธารณูปโภค" sheetId="50" r:id="rId34"/>
    <sheet name=" ครุภัณ์ สนง " sheetId="51" r:id="rId35"/>
    <sheet name=" ครุภัณ์คอม" sheetId="13" r:id="rId36"/>
    <sheet name=" ครุภัณ์ยาน" sheetId="52" r:id="rId37"/>
    <sheet name=" ครุภัณ์วิทย์" sheetId="53" r:id="rId38"/>
    <sheet name=" ครุภัณ์อื่นๆ" sheetId="54" r:id="rId39"/>
    <sheet name="สิ่งก่อสร้าง" sheetId="16" r:id="rId40"/>
    <sheet name="อุดหนุน" sheetId="55" r:id="rId41"/>
    <sheet name="พิมแสตม" sheetId="56" r:id="rId42"/>
    <sheet name="ประชุมต่างประเทศ" sheetId="20" r:id="rId43"/>
    <sheet name="อบรมต่างประเทศประเทศ" sheetId="19" r:id="rId44"/>
    <sheet name="จ้างที่ปรึกษา" sheetId="21" r:id="rId45"/>
    <sheet name="ทุนการศึกษา" sheetId="22" r:id="rId46"/>
    <sheet name="การตรวจสุขภาพ (ลูกจ้างชั่วคราว)" sheetId="29" r:id="rId47"/>
    <sheet name="ถอนคืนค่าปรับ" sheetId="57" r:id="rId48"/>
    <sheet name="การคลัง" sheetId="23" r:id="rId49"/>
    <sheet name="ปิโตรเลียม" sheetId="58" r:id="rId5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54" l="1"/>
  <c r="J12" i="54"/>
  <c r="J11" i="54"/>
  <c r="J13" i="53"/>
  <c r="J12" i="53"/>
  <c r="J11" i="53"/>
  <c r="J13" i="52"/>
  <c r="J12" i="52"/>
  <c r="J11" i="52"/>
  <c r="J13" i="51"/>
  <c r="J12" i="51"/>
  <c r="J11" i="51"/>
  <c r="F11" i="38"/>
  <c r="M15" i="3"/>
  <c r="I15" i="3"/>
  <c r="M14" i="3"/>
  <c r="I14" i="3"/>
  <c r="O14" i="3" s="1"/>
  <c r="M13" i="3"/>
  <c r="I13" i="3"/>
  <c r="M12" i="3"/>
  <c r="I12" i="3"/>
  <c r="J13" i="13"/>
  <c r="J12" i="13"/>
  <c r="J11" i="13"/>
  <c r="F9" i="2"/>
  <c r="F10" i="2"/>
  <c r="F11" i="2"/>
  <c r="F12" i="2"/>
  <c r="K12" i="26"/>
  <c r="K11" i="26"/>
  <c r="K8" i="26"/>
  <c r="K7" i="26"/>
  <c r="H9" i="25"/>
  <c r="M12" i="1"/>
  <c r="M13" i="1"/>
  <c r="M14" i="1"/>
  <c r="M11" i="1"/>
  <c r="I12" i="1"/>
  <c r="I13" i="1"/>
  <c r="I14" i="1"/>
  <c r="O15" i="3" l="1"/>
  <c r="O13" i="3"/>
  <c r="N13" i="1"/>
  <c r="N14" i="1"/>
  <c r="O12" i="3"/>
  <c r="N12" i="1"/>
  <c r="F15" i="6"/>
  <c r="I11" i="1"/>
  <c r="C8" i="26"/>
  <c r="N11" i="1" l="1"/>
</calcChain>
</file>

<file path=xl/comments1.xml><?xml version="1.0" encoding="utf-8"?>
<comments xmlns="http://schemas.openxmlformats.org/spreadsheetml/2006/main">
  <authors>
    <author>Bally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1 ตค 63</t>
        </r>
      </text>
    </comment>
  </commentList>
</comments>
</file>

<file path=xl/comments2.xml><?xml version="1.0" encoding="utf-8"?>
<comments xmlns="http://schemas.openxmlformats.org/spreadsheetml/2006/main">
  <authors>
    <author>Bally</author>
  </authors>
  <commentLis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</commentList>
</comments>
</file>

<file path=xl/comments3.xml><?xml version="1.0" encoding="utf-8"?>
<comments xmlns="http://schemas.openxmlformats.org/spreadsheetml/2006/main">
  <authors>
    <author>Bally</author>
  </authors>
  <commentList>
    <comment ref="C2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  <comment ref="C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ข้าราชการ ลูกจ้างประจำ พนักงานราชการ  ลูกจ้างชั่วคราว</t>
        </r>
      </text>
    </comment>
    <comment ref="F8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ใช้ 200 ไม่ใช่ 400</t>
        </r>
      </text>
    </comment>
  </commentList>
</comments>
</file>

<file path=xl/comments4.xml><?xml version="1.0" encoding="utf-8"?>
<comments xmlns="http://schemas.openxmlformats.org/spreadsheetml/2006/main">
  <authors>
    <author>Bally</author>
  </authors>
  <commentList>
    <comment ref="B7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ทำdropdown กรณีเลือกผู้ควบคุมต้องระบุชื่อรายการ</t>
        </r>
      </text>
    </comment>
  </commentList>
</comments>
</file>

<file path=xl/comments5.xml><?xml version="1.0" encoding="utf-8"?>
<comments xmlns="http://schemas.openxmlformats.org/spreadsheetml/2006/main">
  <authors>
    <author>Bally</author>
  </authors>
  <commentList>
    <comment ref="D8" authorId="0" shapeId="0">
      <text>
        <r>
          <rPr>
            <b/>
            <sz val="9"/>
            <color indexed="81"/>
            <rFont val="Tahoma"/>
            <charset val="222"/>
          </rPr>
          <t>Bally:</t>
        </r>
        <r>
          <rPr>
            <sz val="9"/>
            <color indexed="81"/>
            <rFont val="Tahoma"/>
            <charset val="222"/>
          </rPr>
          <t xml:space="preserve">
คูณ 12 เดือน</t>
        </r>
      </text>
    </comment>
  </commentList>
</comments>
</file>

<file path=xl/comments6.xml><?xml version="1.0" encoding="utf-8"?>
<comments xmlns="http://schemas.openxmlformats.org/spreadsheetml/2006/main">
  <authors>
    <author>Bally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ทำเหมือนเงิน งบประมาณ</t>
        </r>
      </text>
    </comment>
  </commentList>
</comments>
</file>

<file path=xl/comments7.xml><?xml version="1.0" encoding="utf-8"?>
<comments xmlns="http://schemas.openxmlformats.org/spreadsheetml/2006/main">
  <authors>
    <author>Bally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>Bally:</t>
        </r>
        <r>
          <rPr>
            <sz val="9"/>
            <color indexed="81"/>
            <rFont val="Tahoma"/>
            <family val="2"/>
          </rPr>
          <t xml:space="preserve">
ปร 4 5 และหนังสืออนุมัติโครงการ</t>
        </r>
      </text>
    </comment>
  </commentList>
</comments>
</file>

<file path=xl/sharedStrings.xml><?xml version="1.0" encoding="utf-8"?>
<sst xmlns="http://schemas.openxmlformats.org/spreadsheetml/2006/main" count="1022" uniqueCount="347">
  <si>
    <t>หน่วยงาน......................</t>
  </si>
  <si>
    <t>งบดำเนินงาน</t>
  </si>
  <si>
    <t>ค่าตอบแทน ใช้สอยและวัสดุ</t>
  </si>
  <si>
    <t>ค่าตอบแทน</t>
  </si>
  <si>
    <t>ลำดับ</t>
  </si>
  <si>
    <t>ชื่อ-สกุล</t>
  </si>
  <si>
    <t>อัตรา</t>
  </si>
  <si>
    <t>จำนวน (บาท)</t>
  </si>
  <si>
    <t>รวมทั้งสิ้น (บาท)</t>
  </si>
  <si>
    <t>รวมทั้งสิ้น</t>
  </si>
  <si>
    <t>หมายเหตุ ธรรมดาไม่เกิน 4 ชม./วัน</t>
  </si>
  <si>
    <t>วันหยุดและวันหยุดนักขัตฤกษ์ 7 ชม./วัน</t>
  </si>
  <si>
    <t>ค่าใช้สอย</t>
  </si>
  <si>
    <t>รายการ</t>
  </si>
  <si>
    <t>ค่าตอบแทนอื่นๆ</t>
  </si>
  <si>
    <t>ระดับ</t>
  </si>
  <si>
    <t>ครั้ง</t>
  </si>
  <si>
    <t>ค่าเบี้ยเลี้ยง</t>
  </si>
  <si>
    <t>ค่าเช่าที่พัก</t>
  </si>
  <si>
    <t>ค่าพาหนะและค่าน้ำมัน</t>
  </si>
  <si>
    <t>รวมทั้งสิ้น
(บาท)</t>
  </si>
  <si>
    <t>คน</t>
  </si>
  <si>
    <t>วัน</t>
  </si>
  <si>
    <t>คืน</t>
  </si>
  <si>
    <t>ค่าซ่อมแซมครุภัณฑ์</t>
  </si>
  <si>
    <t>จำนวนทั้งหมดที่มีอยู่</t>
  </si>
  <si>
    <t>จำนวนที่ขอซ่อม</t>
  </si>
  <si>
    <t>ราคาซ่อมโดยเฉลี่ย/เครื่อง</t>
  </si>
  <si>
    <t>ค่าซ่อมแซมยานพาหนะและขนส่ง</t>
  </si>
  <si>
    <t>ประเภทยานพาหนะ</t>
  </si>
  <si>
    <t>ทะเบียนยานพาหนะราชการ</t>
  </si>
  <si>
    <t>วัน/เดือน/ปี จดทะเบียน</t>
  </si>
  <si>
    <t>อายุการใช้งาน(ปี/เดือน</t>
  </si>
  <si>
    <t/>
  </si>
  <si>
    <t>จำนวน</t>
  </si>
  <si>
    <t>หน่วยนับ</t>
  </si>
  <si>
    <t>ตำแหน่ง</t>
  </si>
  <si>
    <t>อัตราเงินเดือน</t>
  </si>
  <si>
    <t>ต่อเดือน</t>
  </si>
  <si>
    <t>ต่อปี</t>
  </si>
  <si>
    <t>หมายเหตุ</t>
  </si>
  <si>
    <t>ค่าวัสดุ</t>
  </si>
  <si>
    <t>ค่าวัสดุสำนักงาน</t>
  </si>
  <si>
    <t>ค่าน้ำมันเชื้อเพลิงและหล่อลื่น</t>
  </si>
  <si>
    <t>ลิตร/คัน/เดือน</t>
  </si>
  <si>
    <t>งบลงทุน</t>
  </si>
  <si>
    <t>ชื่อรายการ</t>
  </si>
  <si>
    <t>คุณลักษณะของครุภัณฑ์ (Spec)</t>
  </si>
  <si>
    <t xml:space="preserve">กรอบครุภัณฑ์ </t>
  </si>
  <si>
    <t>วัตถุประสงค์ในการขอ</t>
  </si>
  <si>
    <r>
      <rPr>
        <sz val="16"/>
        <color rgb="FF000000"/>
        <rFont val="TH SarabunPSK"/>
        <family val="2"/>
      </rPr>
      <t xml:space="preserve">ราคา
</t>
    </r>
    <r>
      <rPr>
        <sz val="16"/>
        <color rgb="FF000000"/>
        <rFont val="TH SarabunPSK"/>
        <family val="2"/>
      </rPr>
      <t xml:space="preserve">ต่อหน่วย/ชุด
</t>
    </r>
    <r>
      <rPr>
        <sz val="16"/>
        <color rgb="FF000000"/>
        <rFont val="TH SarabunPSK"/>
        <family val="2"/>
      </rPr>
      <t xml:space="preserve"> (บาท)</t>
    </r>
  </si>
  <si>
    <r>
      <rPr>
        <sz val="16"/>
        <color rgb="FF000000"/>
        <rFont val="TH SarabunPSK"/>
        <family val="2"/>
      </rPr>
      <t xml:space="preserve">ราคารวม
</t>
    </r>
    <r>
      <rPr>
        <sz val="16"/>
        <color rgb="FF000000"/>
        <rFont val="TH SarabunPSK"/>
        <family val="2"/>
      </rPr>
      <t>(บาท)</t>
    </r>
  </si>
  <si>
    <t>ราคามาตรฐานครุภัณฑ์</t>
  </si>
  <si>
    <t>ไม่กำหนดราคามาตรฐานครุภัณฑ์</t>
  </si>
  <si>
    <t>ความต้องการ</t>
  </si>
  <si>
    <t>จำนวนที่มีอยู่</t>
  </si>
  <si>
    <t>เพิ่มเติม</t>
  </si>
  <si>
    <t>ทดแทนของเดิม</t>
  </si>
  <si>
    <t>ครุภัณฑ์คอมพิวเตอร์</t>
  </si>
  <si>
    <t>ที่ดิน สิ่งก่อสร้าง</t>
  </si>
  <si>
    <t>ค่าปรับปรุงสำนักงานและบ้านพักข้าราชการ</t>
  </si>
  <si>
    <t>งบรายจ่ายอื่น</t>
  </si>
  <si>
    <t xml:space="preserve">รายการ </t>
  </si>
  <si>
    <t>ค่าใช้จ่ายในการประชุมต่างประเทศ</t>
  </si>
  <si>
    <t>ค่าจ้างที่ปรึกษา</t>
  </si>
  <si>
    <t>ค่าทุนการศึกษาต่อ</t>
  </si>
  <si>
    <t>โครงการตรวจสุขภาพ</t>
  </si>
  <si>
    <t>ประเภทบุคลากร</t>
  </si>
  <si>
    <t>อัตราต่อเดือน</t>
  </si>
  <si>
    <t>ชื่อ นามสกุล</t>
  </si>
  <si>
    <t>ยานพาหนะราชการ</t>
  </si>
  <si>
    <t>ค่าตอบแทนบุคคลหรือคณะกรรมการ</t>
  </si>
  <si>
    <t>คณะกรรมการ/ผู้ควบคุมงาน</t>
  </si>
  <si>
    <t>ตำแหน่ง (ก่อนเกษียณ)</t>
  </si>
  <si>
    <t>เงินสมทบกองทุนเงินทดแทน</t>
  </si>
  <si>
    <t>ค่าใช้จ่ายในการอบรมต่างประเทศ</t>
  </si>
  <si>
    <t>ค่าตอบแทนการปฏิบัติงาน 3 จังหวัดชายแดนใต้</t>
  </si>
  <si>
    <t>เลขที่สัญญา</t>
  </si>
  <si>
    <t>วันที่ของสัญญา</t>
  </si>
  <si>
    <t>วงเงินตามสัญญา</t>
  </si>
  <si>
    <t>ปีที่บำรุงรักษา</t>
  </si>
  <si>
    <t>อัตรา (บาท)</t>
  </si>
  <si>
    <t>โอนให้สำนักงานปลัดกระทรวงการคลัง</t>
  </si>
  <si>
    <t>ครุภัณฑ์สำนักงาน</t>
  </si>
  <si>
    <t>ครุภัณฑ์อื่นๆ</t>
  </si>
  <si>
    <t>ประธาน</t>
  </si>
  <si>
    <t>คกก</t>
  </si>
  <si>
    <t>หัวหน้า</t>
  </si>
  <si>
    <t>ผู้ควบคุมงาน</t>
  </si>
  <si>
    <t>คกก........</t>
  </si>
  <si>
    <t>ผู้ควบคุมงาน..........</t>
  </si>
  <si>
    <t>แผนการรับ - จ่ายเงินฝากค่าใช้จ่ายเก็บภาษีท้องถิ่น ประจำปีงบประมาณ พ.ศ. .......................</t>
  </si>
  <si>
    <t>ค่าตรวจปฏิบัติการโรงงานอุตสาหกรรรม (ส่วนกลางบันทึก)</t>
  </si>
  <si>
    <t xml:space="preserve">ค่าตอบแทนข้าราชการเกษียณ </t>
  </si>
  <si>
    <t>ราคาซ่อมโดยเฉลี่ย (บาท)</t>
  </si>
  <si>
    <t>ค่าจ้างเหมาบริการบำรุงรักษาระบบต่างๆ</t>
  </si>
  <si>
    <t xml:space="preserve">ปัญหา อุปสรรค เหตุผลจำเป็นที่ต้องจัดหาครุภัณฑ์นี้
</t>
  </si>
  <si>
    <t>ครุภัณฑ์</t>
  </si>
  <si>
    <t>แผนงาน.......................</t>
  </si>
  <si>
    <t>ผลผลิต ...........................................</t>
  </si>
  <si>
    <t>กิจกรรม</t>
  </si>
  <si>
    <t>ค่าเช่าบ้าน</t>
  </si>
  <si>
    <t>แผนงาน......................</t>
  </si>
  <si>
    <t>วันทำการ</t>
  </si>
  <si>
    <t>จำนวนชั่วโมง/วัน</t>
  </si>
  <si>
    <t>ค่าตอบแทน/ชั่วโมง</t>
  </si>
  <si>
    <t>วันหยุด</t>
  </si>
  <si>
    <t>ค่าตอบแทนพิเศษรายเดือนสำหรับผู้ปฏิบัติงานในเขตพื้นที่พิเศษ (ส.ป.พ.)</t>
  </si>
  <si>
    <t xml:space="preserve"> ค่าตอบแทนการปฏิบัติงานนอกเวลาราชการ</t>
  </si>
  <si>
    <t>ค่าตอบแทนแหมาจ่ายแทนการจัดหารถประจำตำแหน่ง</t>
  </si>
  <si>
    <t>ค่าตอบแทน (บาท)</t>
  </si>
  <si>
    <t>เงินสมทบกองทุนประกันสังคม</t>
  </si>
  <si>
    <t xml:space="preserve"> ค่าเบี้ยเลี้ยง ค่าเช่าที่พัก และค่าพาหนะ</t>
  </si>
  <si>
    <t xml:space="preserve">ประเภทยานพาหนะ </t>
  </si>
  <si>
    <t>ค่าซ่อมแซมสิ่งก่อสร้าง</t>
  </si>
  <si>
    <t>รายการสิ่งก่อสร้าง</t>
  </si>
  <si>
    <t>ค่าซ่อมแซม (บาท)</t>
  </si>
  <si>
    <t>รายการค่าเช่าทรัพย์สิน</t>
  </si>
  <si>
    <t>อัตราค่าเช่า (บาท)</t>
  </si>
  <si>
    <t>ค่าซ่อมแซมทรัพย์สิน</t>
  </si>
  <si>
    <t>ค่าจ้างเหมาบริการ</t>
  </si>
  <si>
    <t>ค่าจ้างเหมาบริการทำความสะอาด</t>
  </si>
  <si>
    <t>จำนวน (คน)</t>
  </si>
  <si>
    <t xml:space="preserve">อัตรา/คน/เดือน (บาท) </t>
  </si>
  <si>
    <t>ต่อเดือน (บาท)</t>
  </si>
  <si>
    <t xml:space="preserve">ต่อปี (บาท) </t>
  </si>
  <si>
    <t>ค่าจ้างเหมาบริการรักษาความปลอดภัย</t>
  </si>
  <si>
    <t>ค่ากำจัดปลวก (เหมาบริการ)</t>
  </si>
  <si>
    <t>ค่ากำจัดปลวก</t>
  </si>
  <si>
    <t>วันที่รับมอบงาน</t>
  </si>
  <si>
    <t>ค่าจ้างพิมพ์แก้ไขแสตมป์ (ค่าจ้างเหมา)</t>
  </si>
  <si>
    <t>ค่าจ้างพิมพ์แก้ไขแสตมป์</t>
  </si>
  <si>
    <t xml:space="preserve"> ค่าจ้างเหมาบริการอื่นๆ</t>
  </si>
  <si>
    <t>ค่าใช้จ่ายในการสัมมนาและฝึกอบรม</t>
  </si>
  <si>
    <t>ครั้ง/รุ่น</t>
  </si>
  <si>
    <t>ระบุจำนวน/หน่วยนับ</t>
  </si>
  <si>
    <t>อัตราค่าใช้จ่ายที่ตั้ง</t>
  </si>
  <si>
    <t>รวมเงิน</t>
  </si>
  <si>
    <t>สถานที่ดำเนินการ</t>
  </si>
  <si>
    <t>รวม</t>
  </si>
  <si>
    <t>ราชการ</t>
  </si>
  <si>
    <t>เอกชน</t>
  </si>
  <si>
    <t>โครงการ/หลักสูตร/รายการ-กิจกรรม</t>
  </si>
  <si>
    <t>จำนวนคน</t>
  </si>
  <si>
    <t>คณะผู้จัด</t>
  </si>
  <si>
    <t>คำชี้แจง (เหตุผลความจำเป็น
และผลประโยชน์ที่จะได้รับ)</t>
  </si>
  <si>
    <t>ประเภท 
ก</t>
  </si>
  <si>
    <t>ประเภท 
ข</t>
  </si>
  <si>
    <t xml:space="preserve"> บรรยายศึกษาแลกเปลี่ยนเรียนรู้</t>
  </si>
  <si>
    <t xml:space="preserve"> ค่าวิทยากร</t>
  </si>
  <si>
    <t xml:space="preserve"> ค่าที่พัก</t>
  </si>
  <si>
    <t>โครงการพัฒนาบุคลากร A</t>
  </si>
  <si>
    <t>โครงการพัฒนาบุคลากร B</t>
  </si>
  <si>
    <t>ค่าโฆษณาและเผยแพร่</t>
  </si>
  <si>
    <t xml:space="preserve">จำนวน </t>
  </si>
  <si>
    <t>ราคา/หน่วย (บาท)</t>
  </si>
  <si>
    <t>รวม (บาท)</t>
  </si>
  <si>
    <t>ค่าใช้จ่ายในการบำรุงรักษาเครื่องปรับอากาศ</t>
  </si>
  <si>
    <t>จำนวน (เครื่อง)</t>
  </si>
  <si>
    <t>โครงการ</t>
  </si>
  <si>
    <t>จำนวน (หน่วย)</t>
  </si>
  <si>
    <t>ค่าธรรมเนียมศาล</t>
  </si>
  <si>
    <t>ค่าธรรมเนียม (บาท)</t>
  </si>
  <si>
    <t>ชื่อคดี</t>
  </si>
  <si>
    <t>จำนวน (คัน)</t>
  </si>
  <si>
    <t>จำนวนวัน</t>
  </si>
  <si>
    <t>ราคา/ลิตร (บาท)</t>
  </si>
  <si>
    <t>ต่อปี (บาท)</t>
  </si>
  <si>
    <t>ค่าวัสดุไฟฟ้าและวิทยุ</t>
  </si>
  <si>
    <t>ค่าวัสดุวิทยาศาสตร์หรือการแพทย์</t>
  </si>
  <si>
    <t xml:space="preserve">  ค่าวัสดุคอมพิวเตอร์</t>
  </si>
  <si>
    <t xml:space="preserve"> ค่าวัสดุยานพาหนะและขนส่ง</t>
  </si>
  <si>
    <t xml:space="preserve"> ค่าวัสดุอื่นๆ</t>
  </si>
  <si>
    <t>ค่าสาธารณูปโภค</t>
  </si>
  <si>
    <t>ค่าไฟฟ้า ประปา โทรศัพท์ ไปรษณีย์ ค่าบริการสื่อสารและโทรคมนาคม</t>
  </si>
  <si>
    <t>จ่ายจริงปีก่อนหน้า ปี .......(บาท)</t>
  </si>
  <si>
    <t>ค่าไฟฟ้า</t>
  </si>
  <si>
    <t>ค่าประปา</t>
  </si>
  <si>
    <t xml:space="preserve">โทรศัพท์ </t>
  </si>
  <si>
    <t>ไปรษณีย์</t>
  </si>
  <si>
    <t xml:space="preserve"> ค่าบริการสื่อสารและโทรคมนาคม</t>
  </si>
  <si>
    <t>ครุภัณฑ์ยานพาหนะ</t>
  </si>
  <si>
    <t>ครุภัณฑ์วิทยาศาสตร์</t>
  </si>
  <si>
    <t>งบเงินอุดหนุน</t>
  </si>
  <si>
    <t>เงินสินบนและเงินรางวัล สุรา ยาสูบ ไพ่แสตมป์สรรพสามิต และ พ.ร.บ. ภาษีสรรพสามิต พ.ศ. 2527</t>
  </si>
  <si>
    <t>ค่าพิมพ์แสตมป์</t>
  </si>
  <si>
    <t>รายการ (ประเภทแสตมป์)</t>
  </si>
  <si>
    <t>จำนวน (ดวง)</t>
  </si>
  <si>
    <t>จำนวนราย</t>
  </si>
  <si>
    <t>รายละ (บาท)</t>
  </si>
  <si>
    <t>จำนวนเงิน (บาท)</t>
  </si>
  <si>
    <t>โครงการตรวจสุขภาพ (ลูกจ้างชั่วคราว)</t>
  </si>
  <si>
    <t>ค่าถอนคืนรายได้แผ่นดิน</t>
  </si>
  <si>
    <t>ค่าถอนคืนเงินรายได้แผ่นดิน</t>
  </si>
  <si>
    <t>ประภทบุคลากร</t>
  </si>
  <si>
    <t>ชม.</t>
  </si>
  <si>
    <t>ค่าใช้จ่ายในการป้องกันและปราบปรามการกระทำผิดเกี่ยวกับปิโตรเลียม</t>
  </si>
  <si>
    <t>หมวด/รายการ</t>
  </si>
  <si>
    <t>หมวดค่าตอบแทน ใช้สอยและวัสดุ</t>
  </si>
  <si>
    <t xml:space="preserve">ค่าตอบแทน </t>
  </si>
  <si>
    <t>ค่าตอบแทนการปฏิบัติงานนอกเวลาราชการ</t>
  </si>
  <si>
    <t>ค่าเบี้ยประชุมกรรมการ</t>
  </si>
  <si>
    <t>ค่าตอบแทนคณะกรรมการตรวจการจ้างฯ</t>
  </si>
  <si>
    <t>ค่าเบี้ยเลี้ยง ค่าเช่าที่พัก และค่าพาหนะ</t>
  </si>
  <si>
    <t>ค่าซ่อมแซมครุภัณฑ์วิทยาศาสตร์</t>
  </si>
  <si>
    <t>ค่าซอมแซมครุภัณฑ์</t>
  </si>
  <si>
    <t>ค่าเช่าทรัพย์สิน</t>
  </si>
  <si>
    <t>ค่าใช้จ่ายในการสัมนาและฝึกอบรม</t>
  </si>
  <si>
    <t>ค่าใช้สอยอื่นๆ</t>
  </si>
  <si>
    <t>ค่าวัสดุคอมพิวเตอร์</t>
  </si>
  <si>
    <t>ค่าวัสดุยานพาหนะและขนส่ง</t>
  </si>
  <si>
    <t>ค่าวัสดุอื่นๆ</t>
  </si>
  <si>
    <t>หมวดค่าสาธารณูปโภค</t>
  </si>
  <si>
    <t>ค่าโทรศัพท์</t>
  </si>
  <si>
    <t>ค่าน้ำประปา</t>
  </si>
  <si>
    <t>ค่าไปรษณีย์</t>
  </si>
  <si>
    <t>ค่าครุภัณฑ์วิทยาศาสตร์</t>
  </si>
  <si>
    <t>ค่าครุภัณฑ์ยานพาหนะและขนส่ง</t>
  </si>
  <si>
    <t>ค่าครุภัณฑ์สำนักงาน</t>
  </si>
  <si>
    <t>ค่าครุภัณฑ์อื่นๆ</t>
  </si>
  <si>
    <t>รายจ่ายประจำ</t>
  </si>
  <si>
    <t>โครงการเพิ่มประสิทธิภาพปฏิบัติภารกิจป้องกันและปราบปรามการกระทำผิดเกี่ยวกับปิโตรเลียม</t>
  </si>
  <si>
    <t>รายจ่ายลงทุน</t>
  </si>
  <si>
    <t>งบรายจ่ายอื่น (ครุภัณฑ์)</t>
  </si>
  <si>
    <t>ค่าเช่ารถยนต์สำหรับใช่ในการป้องกันและปราบปรามการกระทำความผิดเกี่ยวกับปิโตรเลียม</t>
  </si>
  <si>
    <t>กรมสรรพสามิต</t>
  </si>
  <si>
    <t>กรมศุลกากร</t>
  </si>
  <si>
    <t>กรมธุรกิจพลังงาน</t>
  </si>
  <si>
    <t>สำนักนโยบายและแผน</t>
  </si>
  <si>
    <t>สำนักงานตำรวจแห่งชาติ</t>
  </si>
  <si>
    <t>ทางบก</t>
  </si>
  <si>
    <t>ทางน้ำ</t>
  </si>
  <si>
    <t>ประเภทค่าจ้างเหมา</t>
  </si>
  <si>
    <t>ค่าบำรุงรักษาระบบคอมพิวเตอร์</t>
  </si>
  <si>
    <t>ค่าบำรุงรักษาอาคาร</t>
  </si>
  <si>
    <t>ค่าบำรุงรักษาอื่นๆ</t>
  </si>
  <si>
    <t>อัตราเดิม</t>
  </si>
  <si>
    <t>-</t>
  </si>
  <si>
    <t>AllowanceForm</t>
  </si>
  <si>
    <t>ChargeForAdvertiseAndReleaseForm</t>
  </si>
  <si>
    <t>ChargeForElectricalAndRadioForm</t>
  </si>
  <si>
    <t>ChargeForHireServiceForm</t>
  </si>
  <si>
    <t>ChargeForKillTermiteForm</t>
  </si>
  <si>
    <t>ChargeForMaintainAirConditionerForm</t>
  </si>
  <si>
    <t>ChargeForMaterialOfficialForm</t>
  </si>
  <si>
    <t>ค่าวัสดุอื่น</t>
  </si>
  <si>
    <t>ChargeForMaterialOtherForm</t>
  </si>
  <si>
    <t>ค่าวัสดุเชื้อเพลิงและหล่อลื่น</t>
  </si>
  <si>
    <t>ChargeForOilAndLubricateForm</t>
  </si>
  <si>
    <t>ค่าใช้สอยอื่น</t>
  </si>
  <si>
    <t>ChargeForOtherForm</t>
  </si>
  <si>
    <t>ค่าใช้จ่ายในการจัดพิมพ์แสตมป์สรรพสามิต</t>
  </si>
  <si>
    <t>ChargeForPrintStampForm</t>
  </si>
  <si>
    <t>ChargeForRentBuildingForm</t>
  </si>
  <si>
    <t>ค่าจ้างเหมาบริการอื่นๆ</t>
  </si>
  <si>
    <t>ChargeForRentServiceForm</t>
  </si>
  <si>
    <t>ChargeForReprintStampForm</t>
  </si>
  <si>
    <t>ChargeForScienceAndMedicalForm</t>
  </si>
  <si>
    <t>ค่าจ้างเหมาบริการ บำรุงรักษาระบบ</t>
  </si>
  <si>
    <t>ChargeForSoftwareMAForm</t>
  </si>
  <si>
    <t>ChargePetoleumForm#ค่าเช่ารถยนต์สำหรับใช่ในการป้องกันและปราบปรามการกระทำความผิดเกี่ยวกับปิโตรเลียม</t>
  </si>
  <si>
    <t>ค่าใช้จ่ายในการป้องกันและปราบปรามการกระทำความผิดเกี่ยวกับปิโตรเลียม</t>
  </si>
  <si>
    <t>ChargePetoleumForm#ค่าใช้จ่ายในการป้องกันและปราบปรามการกระทำความผิดเกี่ยวกับปิโตรเลียม</t>
  </si>
  <si>
    <t>โครงการเพิ่มประสิทธิภาพปฏิบัติภารกิจการป้องกันและปราบปรามการกระทำผิดเกี่ยวกับปิโตรเลียม</t>
  </si>
  <si>
    <t>ChargePetoleumForm#โครงการเพิ่มประสิทธิภาพปฏิบัติภารกิจการป้องกันและปราบปรามการกระทำผิดเกี่ยวกับปิโตรเลียม</t>
  </si>
  <si>
    <t>CompensationFundForm</t>
  </si>
  <si>
    <t>ค่าตอบแทนพนักงานราชการ</t>
  </si>
  <si>
    <t>CompensationGovernmentEmployeeForm#ค่าตอบแทนพนักงานราชการ</t>
  </si>
  <si>
    <t>เงินช่วยเหลือการครองชีพพนักงานราชการ</t>
  </si>
  <si>
    <t>CompensationGovernmentEmployeeForm#เงินช่วยเหลือการครองชีพพนักงานราชการ</t>
  </si>
  <si>
    <t>ComputerEquipmentForm</t>
  </si>
  <si>
    <t>ComputerMaterialForm</t>
  </si>
  <si>
    <t>CourtFeeForm</t>
  </si>
  <si>
    <t>EducationFundForm</t>
  </si>
  <si>
    <t>ExpensesConferenceForeignForm</t>
  </si>
  <si>
    <t>ExpensesSeminaForeignForm</t>
  </si>
  <si>
    <t>GovernmentIncomeForm</t>
  </si>
  <si>
    <t>HealthCheckProjectForm</t>
  </si>
  <si>
    <t>HireAdvisorForm</t>
  </si>
  <si>
    <t>ค่าตรวจปฏิบัติการโรงงานอุตสาหกรรรม</t>
  </si>
  <si>
    <t>IndustrailSurveyForm</t>
  </si>
  <si>
    <t>InsteadCarForPositionCompensationForm</t>
  </si>
  <si>
    <t>ที่ดินและสิ่งก่อสร้าง</t>
  </si>
  <si>
    <t>LandAndBuildingForm</t>
  </si>
  <si>
    <t>MonthlyCompensationExtraForm</t>
  </si>
  <si>
    <t>OfficialEquipmentForm</t>
  </si>
  <si>
    <t>OtherEquipmentForm</t>
  </si>
  <si>
    <t>OvertimeCompensationForm</t>
  </si>
  <si>
    <t>PersonnelOrCommitteeCompensationForm</t>
  </si>
  <si>
    <t>PublicUtilitiesForm#ค่าโทรศัพท์</t>
  </si>
  <si>
    <t>PublicUtilitiesForm#ค่าน้ำประปา</t>
  </si>
  <si>
    <t>ค่าบริการสื่อสารและโทรคมนาคม</t>
  </si>
  <si>
    <t>PublicUtilitiesForm#ค่าบริการสื่อสารและโทรคมนาคม</t>
  </si>
  <si>
    <t>PublicUtilitiesForm#ค่าไปรษณีย์</t>
  </si>
  <si>
    <t>PublicUtilitiesForm#ค่าไฟฟ้า</t>
  </si>
  <si>
    <t>RentHouseForm</t>
  </si>
  <si>
    <t>RepairBuildingForm</t>
  </si>
  <si>
    <t>RepairEquipmentForm</t>
  </si>
  <si>
    <t>RepairVehicleAndTransportForm</t>
  </si>
  <si>
    <t>ค่าตอบแทนข้าราชการเกษียณ</t>
  </si>
  <si>
    <t>RetiredGovernmentCompensationForm</t>
  </si>
  <si>
    <t>ค่าจ้างลูกจ้างชั่วคราว</t>
  </si>
  <si>
    <t>SalaryAndIncomeForm#ค่าจ้างลูกจ้างชั่วคราว</t>
  </si>
  <si>
    <t>เงิน พ.ป.ผ.</t>
  </si>
  <si>
    <t>SalaryAndIncomeForm#เงิน พ.ป.ผ.</t>
  </si>
  <si>
    <t>เงิน พ.ป.พ.</t>
  </si>
  <si>
    <t>SalaryAndIncomeForm#เงิน พ.ป.พ.</t>
  </si>
  <si>
    <t>เงิน พ.ส.ร.</t>
  </si>
  <si>
    <t>SalaryAndIncomeForm#เงิน พ.ส.ร.</t>
  </si>
  <si>
    <t>เงิน พ.ส.ร. (ค่าจ้างประจำ)</t>
  </si>
  <si>
    <t>SalaryAndIncomeForm#เงิน พ.ส.ร. (ค่าจ้างประจำ)</t>
  </si>
  <si>
    <t>เงิน ส.ป.พ.</t>
  </si>
  <si>
    <t>SalaryAndIncomeForm#เงิน ส.ป.พ.</t>
  </si>
  <si>
    <t>เงินค่าตอบแทนรายเดือนสำหรับข้าราชการ</t>
  </si>
  <si>
    <t>SalaryAndIncomeForm#เงินค่าตอบแทนรายเดือนสำหรับข้าราชการ</t>
  </si>
  <si>
    <t>เงินช่วยเหลือค่าครองชีพ ข้าราชการระดับต้น</t>
  </si>
  <si>
    <t>SalaryAndIncomeForm#เงินช่วยเหลือค่าครองชีพ ข้าราชการระดับต้น</t>
  </si>
  <si>
    <t>เงินประจำตำแหน่ง</t>
  </si>
  <si>
    <t>SalaryAndIncomeForm#เงินประจำตำแหน่ง</t>
  </si>
  <si>
    <t>เงินเพิ่มการครองชีพลูกจ้างชั่วคราว</t>
  </si>
  <si>
    <t>SalaryAndIncomeForm#เงินเพิ่มการครองชีพลูกจ้างชั่วคราว</t>
  </si>
  <si>
    <t>เงินเพิ่มพิเศษสำหรับตำแหน่งที่มีเหตุนิติกร</t>
  </si>
  <si>
    <t>SalaryAndIncomeForm#เงินเพิ่มพิเศษสำหรับตำแหน่งที่มีเหตุนิติกร</t>
  </si>
  <si>
    <t>อัตราเดิม (ข้าราชการ)</t>
  </si>
  <si>
    <t>SalaryAndIncomeForm#อัตราเดิม</t>
  </si>
  <si>
    <t>อัตราเดิม (ค่าจ้างประจำ)</t>
  </si>
  <si>
    <t>SalaryAndIncomeForm#อัตราเดิม (ค่าจ้างประจำ)</t>
  </si>
  <si>
    <t>ScienceEquipmentForm</t>
  </si>
  <si>
    <t>SocialSecurityForm</t>
  </si>
  <si>
    <t>เงินอุดหนุนสำหรับค่าสินบนและเงินรางวัล สุรา ยาสูบ ไพ่ แสตมป์สรรพสามิตและ พ.ร.บ. ภาษีสรรพสามิต พ.ศ. 2527</t>
  </si>
  <si>
    <t>SubsidyForm</t>
  </si>
  <si>
    <t>โอนให้กระทรวงการคลังฯ</t>
  </si>
  <si>
    <t>TranferToMinistryOfFinancialForm</t>
  </si>
  <si>
    <t>TraningAndSeminorsForm</t>
  </si>
  <si>
    <t>ครุภัณฑ์ยานพาหนะและขนส่ง</t>
  </si>
  <si>
    <t>VehicleAndTransportEquipmentForm</t>
  </si>
  <si>
    <t>VehicleEquipmentAndTransport</t>
  </si>
  <si>
    <t>Expenses Name</t>
  </si>
  <si>
    <t>Form Name</t>
  </si>
  <si>
    <t>Cls. State</t>
  </si>
  <si>
    <t xml:space="preserve">เรียกใช้ เพื่อแปลง EXPENSES_XML_DESCRIBEs ให้อยู่ในรูปแบบ Class </t>
  </si>
  <si>
    <t>ü</t>
  </si>
  <si>
    <t>บุคคลภายนอก</t>
  </si>
  <si>
    <t>อัตราค่าใช้จ่าย</t>
  </si>
  <si>
    <t>คำของบประมาณ (บาท)</t>
  </si>
  <si>
    <r>
      <t xml:space="preserve">ราคา
</t>
    </r>
    <r>
      <rPr>
        <sz val="16"/>
        <color rgb="FF000000"/>
        <rFont val="TH SarabunPSK"/>
        <family val="2"/>
      </rPr>
      <t xml:space="preserve">ต่อหน่วย/ชุด
</t>
    </r>
    <r>
      <rPr>
        <sz val="16"/>
        <color rgb="FF000000"/>
        <rFont val="TH SarabunPSK"/>
        <family val="2"/>
      </rPr>
      <t xml:space="preserve"> (บาท)</t>
    </r>
  </si>
  <si>
    <r>
      <t xml:space="preserve">ราคารวม
</t>
    </r>
    <r>
      <rPr>
        <sz val="16"/>
        <color rgb="FF000000"/>
        <rFont val="TH SarabunPSK"/>
        <family val="2"/>
      </rPr>
      <t>(บาท)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</si>
</sst>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* #,##0.00_-;\-* #,##0.00_-;_-* &quot;-&quot;??_-;_-@_-"/>
    <numFmt numFmtId="165" formatCode="_-* #,##0_-;\-* #,##0_-;_-* &quot;-&quot;??_-;_-@_-"/>
    <numFmt numFmtId="166" formatCode="[$-10409]#,##0;\-#,##0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16"/>
      <color rgb="FFFF0000"/>
      <name val="TH SarabunPSK"/>
      <family val="2"/>
    </font>
    <font>
      <sz val="16"/>
      <color rgb="FF000000"/>
      <name val="TH SarabunPSK"/>
      <family val="2"/>
    </font>
    <font>
      <sz val="11"/>
      <name val="Calibri"/>
      <family val="2"/>
    </font>
    <font>
      <sz val="9"/>
      <color indexed="81"/>
      <name val="Tahoma"/>
      <charset val="222"/>
    </font>
    <font>
      <b/>
      <sz val="9"/>
      <color indexed="81"/>
      <name val="Tahoma"/>
      <charset val="22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TH SarabunPSK"/>
      <family val="2"/>
    </font>
    <font>
      <b/>
      <sz val="16"/>
      <color rgb="FF00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2"/>
      <color theme="1"/>
      <name val="Calibri"/>
      <family val="2"/>
      <scheme val="minor"/>
    </font>
    <font>
      <sz val="11"/>
      <color theme="1"/>
      <name val="Wingdings"/>
      <charset val="2"/>
    </font>
    <font>
      <sz val="16"/>
      <color theme="1"/>
      <name val="TH Sarabun New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3D3D3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FFFFFF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93">
    <xf numFmtId="0" fontId="0" fillId="0" borderId="0" xfId="0"/>
    <xf numFmtId="0" fontId="3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/>
    </xf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165" fontId="3" fillId="0" borderId="1" xfId="1" applyNumberFormat="1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3" fillId="0" borderId="0" xfId="0" applyFont="1" applyFill="1" applyAlignment="1">
      <alignment horizontal="left" vertical="top"/>
    </xf>
    <xf numFmtId="0" fontId="5" fillId="0" borderId="5" xfId="0" applyNumberFormat="1" applyFont="1" applyFill="1" applyBorder="1" applyAlignment="1">
      <alignment horizontal="center" vertical="top" wrapText="1" readingOrder="1"/>
    </xf>
    <xf numFmtId="0" fontId="5" fillId="0" borderId="8" xfId="0" applyNumberFormat="1" applyFont="1" applyFill="1" applyBorder="1" applyAlignment="1">
      <alignment horizontal="center" vertical="top" wrapText="1" readingOrder="1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5" fillId="0" borderId="1" xfId="0" applyNumberFormat="1" applyFont="1" applyFill="1" applyBorder="1" applyAlignment="1">
      <alignment horizontal="center" vertical="top" wrapText="1" readingOrder="1"/>
    </xf>
    <xf numFmtId="0" fontId="5" fillId="0" borderId="7" xfId="0" applyNumberFormat="1" applyFont="1" applyFill="1" applyBorder="1" applyAlignment="1">
      <alignment horizontal="center" vertical="top" wrapText="1" readingOrder="1"/>
    </xf>
    <xf numFmtId="164" fontId="3" fillId="0" borderId="1" xfId="1" applyFont="1" applyFill="1" applyBorder="1" applyAlignment="1">
      <alignment vertical="top"/>
    </xf>
    <xf numFmtId="0" fontId="3" fillId="2" borderId="0" xfId="0" applyFont="1" applyFill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0" fontId="11" fillId="0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2" fillId="0" borderId="0" xfId="0" applyFont="1" applyFill="1" applyAlignment="1">
      <alignment horizontal="center" vertical="top"/>
    </xf>
    <xf numFmtId="165" fontId="3" fillId="0" borderId="0" xfId="1" applyNumberFormat="1" applyFont="1" applyFill="1" applyAlignment="1">
      <alignment vertical="top"/>
    </xf>
    <xf numFmtId="165" fontId="3" fillId="0" borderId="1" xfId="0" applyNumberFormat="1" applyFont="1" applyFill="1" applyBorder="1" applyAlignment="1">
      <alignment vertical="top"/>
    </xf>
    <xf numFmtId="165" fontId="2" fillId="0" borderId="1" xfId="1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vertical="top" wrapText="1"/>
    </xf>
    <xf numFmtId="165" fontId="4" fillId="0" borderId="1" xfId="1" applyNumberFormat="1" applyFont="1" applyFill="1" applyBorder="1" applyAlignment="1">
      <alignment vertical="top"/>
    </xf>
    <xf numFmtId="0" fontId="3" fillId="0" borderId="1" xfId="0" applyFont="1" applyFill="1" applyBorder="1" applyAlignment="1">
      <alignment horizontal="right" vertical="top"/>
    </xf>
    <xf numFmtId="165" fontId="3" fillId="0" borderId="0" xfId="1" applyNumberFormat="1" applyFont="1" applyFill="1" applyBorder="1" applyAlignment="1">
      <alignment vertical="top"/>
    </xf>
    <xf numFmtId="165" fontId="3" fillId="0" borderId="1" xfId="1" applyNumberFormat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0" xfId="0" applyFont="1" applyFill="1" applyAlignment="1">
      <alignment horizontal="left" vertical="top"/>
    </xf>
    <xf numFmtId="0" fontId="2" fillId="0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0" xfId="0" applyFont="1"/>
    <xf numFmtId="164" fontId="3" fillId="0" borderId="1" xfId="0" applyNumberFormat="1" applyFont="1" applyFill="1" applyBorder="1" applyAlignment="1">
      <alignment vertical="top"/>
    </xf>
    <xf numFmtId="164" fontId="3" fillId="0" borderId="0" xfId="1" applyFont="1" applyFill="1" applyAlignment="1">
      <alignment vertical="top"/>
    </xf>
    <xf numFmtId="0" fontId="3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right" vertical="top"/>
    </xf>
    <xf numFmtId="0" fontId="0" fillId="0" borderId="1" xfId="0" applyFill="1" applyBorder="1"/>
    <xf numFmtId="0" fontId="2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top"/>
    </xf>
    <xf numFmtId="164" fontId="2" fillId="0" borderId="1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2" xfId="0" applyFont="1" applyFill="1" applyBorder="1" applyAlignment="1">
      <alignment horizontal="righ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horizontal="right"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2" fillId="0" borderId="1" xfId="0" applyFont="1" applyFill="1" applyBorder="1" applyAlignment="1">
      <alignment horizontal="right" vertical="top"/>
    </xf>
    <xf numFmtId="0" fontId="3" fillId="0" borderId="1" xfId="0" applyFont="1" applyBorder="1" applyAlignment="1">
      <alignment horizontal="left" vertical="top"/>
    </xf>
    <xf numFmtId="0" fontId="5" fillId="2" borderId="9" xfId="0" applyFont="1" applyFill="1" applyBorder="1" applyAlignment="1">
      <alignment vertical="top" wrapText="1" readingOrder="1"/>
    </xf>
    <xf numFmtId="0" fontId="5" fillId="2" borderId="15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2" borderId="8" xfId="0" applyFont="1" applyFill="1" applyBorder="1" applyAlignment="1">
      <alignment vertical="top" wrapText="1" readingOrder="1"/>
    </xf>
    <xf numFmtId="0" fontId="5" fillId="2" borderId="16" xfId="0" applyFont="1" applyFill="1" applyBorder="1" applyAlignment="1">
      <alignment horizontal="center" vertical="center" wrapText="1" readingOrder="1"/>
    </xf>
    <xf numFmtId="166" fontId="5" fillId="2" borderId="1" xfId="0" applyNumberFormat="1" applyFont="1" applyFill="1" applyBorder="1" applyAlignment="1">
      <alignment horizontal="center" vertical="top" wrapText="1" readingOrder="1"/>
    </xf>
    <xf numFmtId="0" fontId="5" fillId="2" borderId="11" xfId="0" applyFont="1" applyFill="1" applyBorder="1" applyAlignment="1">
      <alignment horizontal="center" vertical="top" wrapText="1" readingOrder="1"/>
    </xf>
    <xf numFmtId="0" fontId="5" fillId="2" borderId="8" xfId="0" applyFont="1" applyFill="1" applyBorder="1" applyAlignment="1">
      <alignment horizontal="center" vertical="center" wrapText="1" readingOrder="1"/>
    </xf>
    <xf numFmtId="0" fontId="5" fillId="2" borderId="18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left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5" fillId="2" borderId="20" xfId="0" applyFont="1" applyFill="1" applyBorder="1" applyAlignment="1">
      <alignment horizontal="center" vertical="top" wrapText="1" readingOrder="1"/>
    </xf>
    <xf numFmtId="166" fontId="5" fillId="4" borderId="1" xfId="0" applyNumberFormat="1" applyFont="1" applyFill="1" applyBorder="1" applyAlignment="1">
      <alignment horizontal="right" vertical="top" wrapText="1" readingOrder="1"/>
    </xf>
    <xf numFmtId="0" fontId="5" fillId="4" borderId="1" xfId="0" applyFont="1" applyFill="1" applyBorder="1" applyAlignment="1">
      <alignment horizontal="right" vertical="top" wrapText="1" readingOrder="1"/>
    </xf>
    <xf numFmtId="0" fontId="5" fillId="2" borderId="11" xfId="0" applyFont="1" applyFill="1" applyBorder="1" applyAlignment="1">
      <alignment vertical="top" wrapText="1" readingOrder="1"/>
    </xf>
    <xf numFmtId="0" fontId="5" fillId="4" borderId="1" xfId="0" applyFont="1" applyFill="1" applyBorder="1" applyAlignment="1">
      <alignment vertical="top" wrapText="1" readingOrder="1"/>
    </xf>
    <xf numFmtId="0" fontId="13" fillId="2" borderId="1" xfId="0" applyFont="1" applyFill="1" applyBorder="1" applyAlignment="1">
      <alignment horizontal="center" vertical="top" wrapText="1"/>
    </xf>
    <xf numFmtId="0" fontId="13" fillId="5" borderId="1" xfId="0" applyFont="1" applyFill="1" applyBorder="1" applyAlignment="1">
      <alignment vertical="top" wrapText="1"/>
    </xf>
    <xf numFmtId="0" fontId="13" fillId="2" borderId="21" xfId="0" applyFont="1" applyFill="1" applyBorder="1" applyAlignment="1">
      <alignment horizontal="left" vertical="top" wrapText="1"/>
    </xf>
    <xf numFmtId="0" fontId="13" fillId="2" borderId="22" xfId="0" applyFont="1" applyFill="1" applyBorder="1" applyAlignment="1">
      <alignment horizontal="left" vertical="top" wrapText="1"/>
    </xf>
    <xf numFmtId="166" fontId="5" fillId="2" borderId="3" xfId="0" applyNumberFormat="1" applyFont="1" applyFill="1" applyBorder="1" applyAlignment="1">
      <alignment horizontal="center" vertical="top" wrapText="1" readingOrder="1"/>
    </xf>
    <xf numFmtId="0" fontId="5" fillId="2" borderId="3" xfId="0" applyFont="1" applyFill="1" applyBorder="1" applyAlignment="1">
      <alignment horizontal="center" vertical="top" wrapText="1" readingOrder="1"/>
    </xf>
    <xf numFmtId="0" fontId="5" fillId="2" borderId="14" xfId="0" applyFont="1" applyFill="1" applyBorder="1" applyAlignment="1">
      <alignment vertical="top" wrapText="1" readingOrder="1"/>
    </xf>
    <xf numFmtId="0" fontId="13" fillId="2" borderId="3" xfId="0" applyFont="1" applyFill="1" applyBorder="1" applyAlignment="1">
      <alignment horizontal="center" vertical="top" wrapText="1"/>
    </xf>
    <xf numFmtId="0" fontId="13" fillId="5" borderId="3" xfId="0" applyFont="1" applyFill="1" applyBorder="1" applyAlignment="1">
      <alignment vertical="top" wrapText="1"/>
    </xf>
    <xf numFmtId="0" fontId="14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2" fillId="2" borderId="8" xfId="0" applyFont="1" applyFill="1" applyBorder="1" applyAlignment="1">
      <alignment horizontal="center" vertical="top" wrapText="1" readingOrder="1"/>
    </xf>
    <xf numFmtId="0" fontId="12" fillId="2" borderId="3" xfId="0" applyFont="1" applyFill="1" applyBorder="1" applyAlignment="1">
      <alignment horizontal="center" vertical="top" wrapText="1" readingOrder="1"/>
    </xf>
    <xf numFmtId="0" fontId="5" fillId="2" borderId="19" xfId="0" applyFont="1" applyFill="1" applyBorder="1" applyAlignment="1">
      <alignment horizontal="center" vertical="top" wrapText="1" readingOrder="1"/>
    </xf>
    <xf numFmtId="0" fontId="5" fillId="2" borderId="11" xfId="0" applyFont="1" applyFill="1" applyBorder="1" applyAlignment="1">
      <alignment horizontal="center" vertical="center" wrapText="1" readingOrder="1"/>
    </xf>
    <xf numFmtId="0" fontId="12" fillId="2" borderId="23" xfId="0" applyFont="1" applyFill="1" applyBorder="1" applyAlignment="1">
      <alignment horizontal="center" vertical="top" wrapText="1" readingOrder="1"/>
    </xf>
    <xf numFmtId="0" fontId="13" fillId="2" borderId="24" xfId="0" applyFont="1" applyFill="1" applyBorder="1" applyAlignment="1">
      <alignment horizontal="left" vertical="top" wrapText="1"/>
    </xf>
    <xf numFmtId="166" fontId="5" fillId="2" borderId="4" xfId="0" applyNumberFormat="1" applyFont="1" applyFill="1" applyBorder="1" applyAlignment="1">
      <alignment horizontal="center" vertical="top" wrapText="1" readingOrder="1"/>
    </xf>
    <xf numFmtId="0" fontId="5" fillId="2" borderId="13" xfId="0" applyFont="1" applyFill="1" applyBorder="1" applyAlignment="1">
      <alignment horizontal="center" vertical="top" wrapText="1" readingOrder="1"/>
    </xf>
    <xf numFmtId="0" fontId="5" fillId="2" borderId="17" xfId="0" applyFont="1" applyFill="1" applyBorder="1" applyAlignment="1">
      <alignment vertical="top" wrapText="1" readingOrder="1"/>
    </xf>
    <xf numFmtId="0" fontId="5" fillId="2" borderId="24" xfId="0" applyFont="1" applyFill="1" applyBorder="1" applyAlignment="1">
      <alignment vertical="top" wrapText="1" readingOrder="1"/>
    </xf>
    <xf numFmtId="0" fontId="5" fillId="2" borderId="4" xfId="0" applyFont="1" applyFill="1" applyBorder="1" applyAlignment="1">
      <alignment horizontal="center" vertical="top" wrapText="1" readingOrder="1"/>
    </xf>
    <xf numFmtId="0" fontId="13" fillId="2" borderId="4" xfId="0" applyFont="1" applyFill="1" applyBorder="1" applyAlignment="1">
      <alignment horizontal="center" vertical="top" wrapText="1"/>
    </xf>
    <xf numFmtId="0" fontId="5" fillId="5" borderId="4" xfId="0" applyFont="1" applyFill="1" applyBorder="1" applyAlignment="1">
      <alignment vertical="top" wrapText="1" readingOrder="1"/>
    </xf>
    <xf numFmtId="0" fontId="12" fillId="4" borderId="1" xfId="0" applyFont="1" applyFill="1" applyBorder="1" applyAlignment="1">
      <alignment horizontal="center" vertical="top" wrapText="1" readingOrder="1"/>
    </xf>
    <xf numFmtId="0" fontId="12" fillId="2" borderId="1" xfId="0" applyFont="1" applyFill="1" applyBorder="1" applyAlignment="1">
      <alignment horizontal="right" vertical="center" wrapText="1" readingOrder="1"/>
    </xf>
    <xf numFmtId="0" fontId="3" fillId="0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2" fillId="0" borderId="1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12" fillId="0" borderId="1" xfId="0" applyFont="1" applyBorder="1" applyAlignment="1">
      <alignment horizontal="center" vertical="top" wrapText="1" readingOrder="1"/>
    </xf>
    <xf numFmtId="0" fontId="5" fillId="0" borderId="1" xfId="0" applyFont="1" applyBorder="1" applyAlignment="1">
      <alignment horizontal="left" vertical="center" wrapText="1" readingOrder="1"/>
    </xf>
    <xf numFmtId="166" fontId="5" fillId="0" borderId="1" xfId="0" applyNumberFormat="1" applyFont="1" applyBorder="1" applyAlignment="1">
      <alignment horizontal="righ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6" borderId="0" xfId="0" applyFont="1" applyFill="1" applyAlignment="1">
      <alignment vertical="top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3" fillId="6" borderId="0" xfId="0" applyFont="1" applyFill="1" applyAlignment="1">
      <alignment vertical="top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4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left" vertical="top"/>
    </xf>
    <xf numFmtId="0" fontId="0" fillId="0" borderId="0" xfId="0" applyAlignment="1">
      <alignment wrapText="1"/>
    </xf>
    <xf numFmtId="0" fontId="15" fillId="0" borderId="1" xfId="0" applyFont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16" fillId="0" borderId="0" xfId="0" applyFont="1"/>
    <xf numFmtId="0" fontId="17" fillId="0" borderId="0" xfId="0" applyFont="1" applyFill="1" applyAlignment="1">
      <alignment vertical="top"/>
    </xf>
    <xf numFmtId="0" fontId="0" fillId="10" borderId="13" xfId="0" applyFill="1" applyBorder="1" applyAlignment="1">
      <alignment horizontal="left" vertical="top" wrapText="1"/>
    </xf>
    <xf numFmtId="0" fontId="0" fillId="10" borderId="0" xfId="0" applyFill="1" applyBorder="1" applyAlignment="1">
      <alignment horizontal="left" vertical="top" wrapText="1"/>
    </xf>
    <xf numFmtId="0" fontId="2" fillId="7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top"/>
    </xf>
    <xf numFmtId="0" fontId="11" fillId="0" borderId="1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top"/>
    </xf>
    <xf numFmtId="0" fontId="3" fillId="0" borderId="4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Fill="1" applyAlignment="1">
      <alignment horizontal="center" vertical="top"/>
    </xf>
    <xf numFmtId="0" fontId="2" fillId="7" borderId="0" xfId="0" applyFont="1" applyFill="1" applyAlignment="1">
      <alignment horizontal="left" vertical="top"/>
    </xf>
    <xf numFmtId="0" fontId="5" fillId="2" borderId="1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15" xfId="0" applyFont="1" applyFill="1" applyBorder="1" applyAlignment="1">
      <alignment horizontal="center" vertical="center" wrapText="1" readingOrder="1"/>
    </xf>
    <xf numFmtId="0" fontId="5" fillId="2" borderId="6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top"/>
    </xf>
    <xf numFmtId="0" fontId="5" fillId="0" borderId="2" xfId="0" applyNumberFormat="1" applyFont="1" applyFill="1" applyBorder="1" applyAlignment="1">
      <alignment horizontal="center" vertical="top" wrapText="1" readingOrder="1"/>
    </xf>
    <xf numFmtId="0" fontId="5" fillId="0" borderId="10" xfId="0" applyNumberFormat="1" applyFont="1" applyFill="1" applyBorder="1" applyAlignment="1">
      <alignment horizontal="center" vertical="top" wrapText="1" readingOrder="1"/>
    </xf>
    <xf numFmtId="164" fontId="5" fillId="0" borderId="1" xfId="1" applyFont="1" applyFill="1" applyBorder="1" applyAlignment="1">
      <alignment horizontal="center" vertical="top" wrapText="1" readingOrder="1"/>
    </xf>
    <xf numFmtId="0" fontId="2" fillId="0" borderId="0" xfId="0" applyFont="1" applyFill="1" applyAlignment="1">
      <alignment horizontal="left" vertical="top"/>
    </xf>
    <xf numFmtId="0" fontId="5" fillId="0" borderId="11" xfId="0" applyNumberFormat="1" applyFont="1" applyFill="1" applyBorder="1" applyAlignment="1">
      <alignment horizontal="center" vertical="top" wrapText="1" readingOrder="1"/>
    </xf>
    <xf numFmtId="0" fontId="5" fillId="0" borderId="12" xfId="0" applyNumberFormat="1" applyFont="1" applyFill="1" applyBorder="1" applyAlignment="1">
      <alignment horizontal="center" vertical="top" wrapText="1" readingOrder="1"/>
    </xf>
    <xf numFmtId="0" fontId="5" fillId="0" borderId="9" xfId="0" applyNumberFormat="1" applyFont="1" applyFill="1" applyBorder="1" applyAlignment="1">
      <alignment horizontal="center" vertical="top" wrapText="1" readingOrder="1"/>
    </xf>
    <xf numFmtId="0" fontId="6" fillId="0" borderId="6" xfId="0" applyNumberFormat="1" applyFont="1" applyFill="1" applyBorder="1" applyAlignment="1">
      <alignment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showGridLines="0" topLeftCell="A56" workbookViewId="0">
      <selection activeCell="A77" sqref="A77"/>
    </sheetView>
  </sheetViews>
  <sheetFormatPr defaultRowHeight="14.4"/>
  <cols>
    <col min="1" max="1" width="75.33203125" style="154" customWidth="1"/>
    <col min="2" max="2" width="57.21875" style="154" customWidth="1"/>
    <col min="3" max="16384" width="8.88671875" style="154"/>
  </cols>
  <sheetData>
    <row r="1" spans="1:3" ht="15.6">
      <c r="A1" s="155" t="s">
        <v>337</v>
      </c>
      <c r="B1" s="155" t="s">
        <v>338</v>
      </c>
      <c r="C1" s="156" t="s">
        <v>339</v>
      </c>
    </row>
    <row r="2" spans="1:3">
      <c r="A2" s="157" t="s">
        <v>236</v>
      </c>
      <c r="B2" s="157" t="s">
        <v>237</v>
      </c>
      <c r="C2" s="157"/>
    </row>
    <row r="3" spans="1:3">
      <c r="A3" s="157" t="s">
        <v>203</v>
      </c>
      <c r="B3" s="157" t="s">
        <v>238</v>
      </c>
      <c r="C3" s="157"/>
    </row>
    <row r="4" spans="1:3">
      <c r="A4" s="157" t="s">
        <v>153</v>
      </c>
      <c r="B4" s="157" t="s">
        <v>239</v>
      </c>
      <c r="C4" s="157"/>
    </row>
    <row r="5" spans="1:3">
      <c r="A5" s="157" t="s">
        <v>168</v>
      </c>
      <c r="B5" s="157" t="s">
        <v>240</v>
      </c>
      <c r="C5" s="157"/>
    </row>
    <row r="6" spans="1:3">
      <c r="A6" s="157" t="s">
        <v>120</v>
      </c>
      <c r="B6" s="157" t="s">
        <v>241</v>
      </c>
      <c r="C6" s="157"/>
    </row>
    <row r="7" spans="1:3">
      <c r="A7" s="157" t="s">
        <v>127</v>
      </c>
      <c r="B7" s="157" t="s">
        <v>242</v>
      </c>
      <c r="C7" s="157"/>
    </row>
    <row r="8" spans="1:3">
      <c r="A8" s="157" t="s">
        <v>157</v>
      </c>
      <c r="B8" s="157" t="s">
        <v>243</v>
      </c>
      <c r="C8" s="157"/>
    </row>
    <row r="9" spans="1:3">
      <c r="A9" s="157" t="s">
        <v>42</v>
      </c>
      <c r="B9" s="157" t="s">
        <v>244</v>
      </c>
      <c r="C9" s="157"/>
    </row>
    <row r="10" spans="1:3">
      <c r="A10" s="157" t="s">
        <v>245</v>
      </c>
      <c r="B10" s="157" t="s">
        <v>246</v>
      </c>
      <c r="C10" s="157"/>
    </row>
    <row r="11" spans="1:3">
      <c r="A11" s="157" t="s">
        <v>247</v>
      </c>
      <c r="B11" s="157" t="s">
        <v>248</v>
      </c>
      <c r="C11" s="157"/>
    </row>
    <row r="12" spans="1:3">
      <c r="A12" s="157" t="s">
        <v>249</v>
      </c>
      <c r="B12" s="157" t="s">
        <v>250</v>
      </c>
      <c r="C12" s="157"/>
    </row>
    <row r="13" spans="1:3">
      <c r="A13" s="157" t="s">
        <v>251</v>
      </c>
      <c r="B13" s="157" t="s">
        <v>252</v>
      </c>
      <c r="C13" s="157"/>
    </row>
    <row r="14" spans="1:3">
      <c r="A14" s="157" t="s">
        <v>206</v>
      </c>
      <c r="B14" s="157" t="s">
        <v>253</v>
      </c>
      <c r="C14" s="157"/>
    </row>
    <row r="15" spans="1:3">
      <c r="A15" s="157" t="s">
        <v>254</v>
      </c>
      <c r="B15" s="157" t="s">
        <v>255</v>
      </c>
      <c r="C15" s="157"/>
    </row>
    <row r="16" spans="1:3">
      <c r="A16" s="157" t="s">
        <v>130</v>
      </c>
      <c r="B16" s="157" t="s">
        <v>256</v>
      </c>
      <c r="C16" s="157"/>
    </row>
    <row r="17" spans="1:10">
      <c r="A17" s="157" t="s">
        <v>169</v>
      </c>
      <c r="B17" s="157" t="s">
        <v>257</v>
      </c>
      <c r="C17" s="157"/>
    </row>
    <row r="18" spans="1:10">
      <c r="A18" s="157" t="s">
        <v>258</v>
      </c>
      <c r="B18" s="157" t="s">
        <v>259</v>
      </c>
      <c r="C18" s="157"/>
    </row>
    <row r="19" spans="1:10" ht="28.8" customHeight="1">
      <c r="A19" s="157" t="s">
        <v>224</v>
      </c>
      <c r="B19" s="157" t="s">
        <v>260</v>
      </c>
      <c r="C19" s="157"/>
      <c r="D19" s="160" t="s">
        <v>340</v>
      </c>
      <c r="E19" s="161"/>
      <c r="F19" s="161"/>
      <c r="G19" s="161"/>
      <c r="H19" s="161"/>
      <c r="I19" s="161"/>
      <c r="J19" s="161"/>
    </row>
    <row r="20" spans="1:10" ht="28.8">
      <c r="A20" s="157" t="s">
        <v>261</v>
      </c>
      <c r="B20" s="157" t="s">
        <v>262</v>
      </c>
      <c r="C20" s="157"/>
      <c r="D20" s="160"/>
      <c r="E20" s="161"/>
      <c r="F20" s="161"/>
      <c r="G20" s="161"/>
      <c r="H20" s="161"/>
      <c r="I20" s="161"/>
      <c r="J20" s="161"/>
    </row>
    <row r="21" spans="1:10" ht="28.8">
      <c r="A21" s="157" t="s">
        <v>263</v>
      </c>
      <c r="B21" s="157" t="s">
        <v>264</v>
      </c>
      <c r="C21" s="157"/>
      <c r="D21" s="160"/>
      <c r="E21" s="161"/>
      <c r="F21" s="161"/>
      <c r="G21" s="161"/>
      <c r="H21" s="161"/>
      <c r="I21" s="161"/>
      <c r="J21" s="161"/>
    </row>
    <row r="22" spans="1:10">
      <c r="A22" s="157" t="s">
        <v>74</v>
      </c>
      <c r="B22" s="157" t="s">
        <v>265</v>
      </c>
      <c r="C22" s="157"/>
    </row>
    <row r="23" spans="1:10" ht="28.8">
      <c r="A23" s="157" t="s">
        <v>266</v>
      </c>
      <c r="B23" s="157" t="s">
        <v>267</v>
      </c>
      <c r="C23" s="157"/>
    </row>
    <row r="24" spans="1:10" ht="28.8">
      <c r="A24" s="157" t="s">
        <v>268</v>
      </c>
      <c r="B24" s="157" t="s">
        <v>269</v>
      </c>
      <c r="C24" s="157"/>
    </row>
    <row r="25" spans="1:10">
      <c r="A25" s="157" t="s">
        <v>58</v>
      </c>
      <c r="B25" s="157" t="s">
        <v>270</v>
      </c>
      <c r="C25" s="157"/>
    </row>
    <row r="26" spans="1:10">
      <c r="A26" s="157" t="s">
        <v>209</v>
      </c>
      <c r="B26" s="157" t="s">
        <v>271</v>
      </c>
      <c r="C26" s="157"/>
    </row>
    <row r="27" spans="1:10">
      <c r="A27" s="157" t="s">
        <v>161</v>
      </c>
      <c r="B27" s="157" t="s">
        <v>272</v>
      </c>
      <c r="C27" s="157"/>
    </row>
    <row r="28" spans="1:10">
      <c r="A28" s="157" t="s">
        <v>65</v>
      </c>
      <c r="B28" s="157" t="s">
        <v>273</v>
      </c>
      <c r="C28" s="157"/>
    </row>
    <row r="29" spans="1:10">
      <c r="A29" s="157" t="s">
        <v>63</v>
      </c>
      <c r="B29" s="157" t="s">
        <v>274</v>
      </c>
      <c r="C29" s="157"/>
    </row>
    <row r="30" spans="1:10">
      <c r="A30" s="157" t="s">
        <v>75</v>
      </c>
      <c r="B30" s="157" t="s">
        <v>275</v>
      </c>
      <c r="C30" s="157"/>
    </row>
    <row r="31" spans="1:10">
      <c r="A31" s="157" t="s">
        <v>192</v>
      </c>
      <c r="B31" s="157" t="s">
        <v>276</v>
      </c>
      <c r="C31" s="157"/>
    </row>
    <row r="32" spans="1:10">
      <c r="A32" s="157" t="s">
        <v>191</v>
      </c>
      <c r="B32" s="157" t="s">
        <v>277</v>
      </c>
      <c r="C32" s="157"/>
    </row>
    <row r="33" spans="1:3">
      <c r="A33" s="157" t="s">
        <v>64</v>
      </c>
      <c r="B33" s="157" t="s">
        <v>278</v>
      </c>
      <c r="C33" s="157"/>
    </row>
    <row r="34" spans="1:3">
      <c r="A34" s="157" t="s">
        <v>279</v>
      </c>
      <c r="B34" s="157" t="s">
        <v>280</v>
      </c>
      <c r="C34" s="157"/>
    </row>
    <row r="35" spans="1:3">
      <c r="A35" s="157" t="s">
        <v>109</v>
      </c>
      <c r="B35" s="157" t="s">
        <v>281</v>
      </c>
      <c r="C35" s="157"/>
    </row>
    <row r="36" spans="1:3">
      <c r="A36" s="157" t="s">
        <v>282</v>
      </c>
      <c r="B36" s="157" t="s">
        <v>283</v>
      </c>
      <c r="C36" s="157"/>
    </row>
    <row r="37" spans="1:3">
      <c r="A37" s="157" t="s">
        <v>107</v>
      </c>
      <c r="B37" s="157" t="s">
        <v>284</v>
      </c>
      <c r="C37" s="157"/>
    </row>
    <row r="38" spans="1:3">
      <c r="A38" s="157" t="s">
        <v>83</v>
      </c>
      <c r="B38" s="157" t="s">
        <v>285</v>
      </c>
      <c r="C38" s="157"/>
    </row>
    <row r="39" spans="1:3">
      <c r="A39" s="157" t="s">
        <v>84</v>
      </c>
      <c r="B39" s="157" t="s">
        <v>286</v>
      </c>
      <c r="C39" s="157"/>
    </row>
    <row r="40" spans="1:3">
      <c r="A40" s="157" t="s">
        <v>200</v>
      </c>
      <c r="B40" s="157" t="s">
        <v>287</v>
      </c>
      <c r="C40" s="157"/>
    </row>
    <row r="41" spans="1:3">
      <c r="A41" s="157" t="s">
        <v>71</v>
      </c>
      <c r="B41" s="157" t="s">
        <v>288</v>
      </c>
      <c r="C41" s="157"/>
    </row>
    <row r="42" spans="1:3">
      <c r="A42" s="157" t="s">
        <v>213</v>
      </c>
      <c r="B42" s="157" t="s">
        <v>289</v>
      </c>
      <c r="C42" s="157"/>
    </row>
    <row r="43" spans="1:3">
      <c r="A43" s="157" t="s">
        <v>214</v>
      </c>
      <c r="B43" s="157" t="s">
        <v>290</v>
      </c>
      <c r="C43" s="157"/>
    </row>
    <row r="44" spans="1:3">
      <c r="A44" s="157" t="s">
        <v>291</v>
      </c>
      <c r="B44" s="157" t="s">
        <v>292</v>
      </c>
      <c r="C44" s="157"/>
    </row>
    <row r="45" spans="1:3">
      <c r="A45" s="157" t="s">
        <v>215</v>
      </c>
      <c r="B45" s="157" t="s">
        <v>293</v>
      </c>
      <c r="C45" s="157"/>
    </row>
    <row r="46" spans="1:3">
      <c r="A46" s="157" t="s">
        <v>176</v>
      </c>
      <c r="B46" s="157" t="s">
        <v>294</v>
      </c>
      <c r="C46" s="157"/>
    </row>
    <row r="47" spans="1:3">
      <c r="A47" s="157" t="s">
        <v>101</v>
      </c>
      <c r="B47" s="157" t="s">
        <v>295</v>
      </c>
      <c r="C47" s="157"/>
    </row>
    <row r="48" spans="1:3">
      <c r="A48" s="157" t="s">
        <v>114</v>
      </c>
      <c r="B48" s="157" t="s">
        <v>296</v>
      </c>
      <c r="C48" s="157"/>
    </row>
    <row r="49" spans="1:3">
      <c r="A49" s="157" t="s">
        <v>24</v>
      </c>
      <c r="B49" s="157" t="s">
        <v>297</v>
      </c>
      <c r="C49" s="157"/>
    </row>
    <row r="50" spans="1:3">
      <c r="A50" s="157" t="s">
        <v>28</v>
      </c>
      <c r="B50" s="157" t="s">
        <v>298</v>
      </c>
      <c r="C50" s="157"/>
    </row>
    <row r="51" spans="1:3">
      <c r="A51" s="157" t="s">
        <v>299</v>
      </c>
      <c r="B51" s="157" t="s">
        <v>300</v>
      </c>
      <c r="C51" s="157"/>
    </row>
    <row r="52" spans="1:3">
      <c r="A52" s="157" t="s">
        <v>301</v>
      </c>
      <c r="B52" s="157" t="s">
        <v>302</v>
      </c>
      <c r="C52" s="157"/>
    </row>
    <row r="53" spans="1:3">
      <c r="A53" s="157" t="s">
        <v>303</v>
      </c>
      <c r="B53" s="157" t="s">
        <v>304</v>
      </c>
      <c r="C53" s="157"/>
    </row>
    <row r="54" spans="1:3">
      <c r="A54" s="157" t="s">
        <v>305</v>
      </c>
      <c r="B54" s="157" t="s">
        <v>306</v>
      </c>
      <c r="C54" s="157"/>
    </row>
    <row r="55" spans="1:3">
      <c r="A55" s="157" t="s">
        <v>307</v>
      </c>
      <c r="B55" s="157" t="s">
        <v>308</v>
      </c>
      <c r="C55" s="157"/>
    </row>
    <row r="56" spans="1:3">
      <c r="A56" s="157" t="s">
        <v>309</v>
      </c>
      <c r="B56" s="157" t="s">
        <v>310</v>
      </c>
      <c r="C56" s="157"/>
    </row>
    <row r="57" spans="1:3">
      <c r="A57" s="157" t="s">
        <v>311</v>
      </c>
      <c r="B57" s="157" t="s">
        <v>312</v>
      </c>
      <c r="C57" s="157"/>
    </row>
    <row r="58" spans="1:3">
      <c r="A58" s="157" t="s">
        <v>311</v>
      </c>
      <c r="B58" s="157" t="s">
        <v>312</v>
      </c>
      <c r="C58" s="157"/>
    </row>
    <row r="59" spans="1:3">
      <c r="A59" s="157" t="s">
        <v>313</v>
      </c>
      <c r="B59" s="157" t="s">
        <v>314</v>
      </c>
      <c r="C59" s="157"/>
    </row>
    <row r="60" spans="1:3">
      <c r="A60" s="157" t="s">
        <v>315</v>
      </c>
      <c r="B60" s="157" t="s">
        <v>316</v>
      </c>
      <c r="C60" s="157"/>
    </row>
    <row r="61" spans="1:3">
      <c r="A61" s="157" t="s">
        <v>317</v>
      </c>
      <c r="B61" s="157" t="s">
        <v>318</v>
      </c>
      <c r="C61" s="157"/>
    </row>
    <row r="62" spans="1:3">
      <c r="A62" s="157" t="s">
        <v>319</v>
      </c>
      <c r="B62" s="157" t="s">
        <v>320</v>
      </c>
      <c r="C62" s="157"/>
    </row>
    <row r="63" spans="1:3">
      <c r="A63" s="157" t="s">
        <v>321</v>
      </c>
      <c r="B63" s="157" t="s">
        <v>322</v>
      </c>
      <c r="C63" s="157"/>
    </row>
    <row r="64" spans="1:3">
      <c r="A64" s="157" t="s">
        <v>323</v>
      </c>
      <c r="B64" s="157" t="s">
        <v>324</v>
      </c>
      <c r="C64" s="157"/>
    </row>
    <row r="65" spans="1:3">
      <c r="A65" s="157" t="s">
        <v>325</v>
      </c>
      <c r="B65" s="157" t="s">
        <v>326</v>
      </c>
      <c r="C65" s="157"/>
    </row>
    <row r="66" spans="1:3">
      <c r="A66" s="157" t="s">
        <v>182</v>
      </c>
      <c r="B66" s="157" t="s">
        <v>327</v>
      </c>
      <c r="C66" s="157"/>
    </row>
    <row r="67" spans="1:3">
      <c r="A67" s="157" t="s">
        <v>111</v>
      </c>
      <c r="B67" s="157" t="s">
        <v>328</v>
      </c>
      <c r="C67" s="157"/>
    </row>
    <row r="68" spans="1:3" ht="28.8">
      <c r="A68" s="157" t="s">
        <v>329</v>
      </c>
      <c r="B68" s="157" t="s">
        <v>330</v>
      </c>
      <c r="C68" s="157"/>
    </row>
    <row r="69" spans="1:3">
      <c r="A69" s="157" t="s">
        <v>331</v>
      </c>
      <c r="B69" s="157" t="s">
        <v>332</v>
      </c>
      <c r="C69" s="157"/>
    </row>
    <row r="70" spans="1:3">
      <c r="A70" s="157" t="s">
        <v>133</v>
      </c>
      <c r="B70" s="157" t="s">
        <v>333</v>
      </c>
      <c r="C70" s="157"/>
    </row>
    <row r="71" spans="1:3">
      <c r="A71" s="157" t="s">
        <v>334</v>
      </c>
      <c r="B71" s="157" t="s">
        <v>335</v>
      </c>
      <c r="C71" s="157"/>
    </row>
    <row r="72" spans="1:3">
      <c r="A72" s="157" t="s">
        <v>210</v>
      </c>
      <c r="B72" s="157" t="s">
        <v>336</v>
      </c>
      <c r="C72" s="157"/>
    </row>
  </sheetData>
  <mergeCells count="1">
    <mergeCell ref="D19:J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4"/>
  <sheetViews>
    <sheetView zoomScale="66" zoomScaleNormal="60" zoomScaleSheetLayoutView="80" workbookViewId="0">
      <selection activeCell="A9" sqref="A9"/>
    </sheetView>
  </sheetViews>
  <sheetFormatPr defaultColWidth="9.109375" defaultRowHeight="24.6"/>
  <cols>
    <col min="1" max="1" width="6.109375" style="60" customWidth="1"/>
    <col min="2" max="2" width="28.6640625" style="60" customWidth="1"/>
    <col min="3" max="5" width="28.5546875" style="60" customWidth="1"/>
    <col min="6" max="6" width="11.5546875" style="60" customWidth="1"/>
    <col min="7" max="7" width="11.21875" style="60" customWidth="1"/>
    <col min="8" max="16384" width="9.109375" style="60"/>
  </cols>
  <sheetData>
    <row r="1" spans="1:7">
      <c r="A1" s="162" t="s">
        <v>91</v>
      </c>
      <c r="B1" s="162"/>
      <c r="C1" s="162"/>
      <c r="D1" s="162"/>
      <c r="E1" s="162"/>
      <c r="F1" s="162"/>
      <c r="G1" s="162"/>
    </row>
    <row r="2" spans="1:7">
      <c r="A2" s="61" t="s">
        <v>0</v>
      </c>
      <c r="B2" s="61"/>
      <c r="C2" s="61"/>
      <c r="D2" s="61"/>
      <c r="E2" s="61"/>
      <c r="F2" s="61"/>
      <c r="G2" s="61"/>
    </row>
    <row r="3" spans="1:7">
      <c r="A3" s="61" t="s">
        <v>98</v>
      </c>
      <c r="B3" s="61"/>
      <c r="C3" s="61"/>
      <c r="D3" s="61"/>
      <c r="E3" s="61"/>
      <c r="F3" s="61"/>
      <c r="G3" s="61"/>
    </row>
    <row r="4" spans="1:7">
      <c r="A4" s="61" t="s">
        <v>99</v>
      </c>
      <c r="B4" s="61"/>
      <c r="C4" s="61"/>
      <c r="D4" s="61"/>
      <c r="E4" s="61"/>
      <c r="F4" s="61"/>
      <c r="G4" s="61"/>
    </row>
    <row r="5" spans="1:7">
      <c r="A5" s="61" t="s">
        <v>100</v>
      </c>
      <c r="B5" s="61"/>
      <c r="C5" s="61"/>
      <c r="D5" s="61"/>
      <c r="E5" s="61"/>
      <c r="F5" s="61"/>
      <c r="G5" s="61"/>
    </row>
    <row r="6" spans="1:7">
      <c r="A6" s="163" t="s">
        <v>1</v>
      </c>
      <c r="B6" s="163"/>
      <c r="C6" s="61"/>
      <c r="D6" s="61"/>
      <c r="E6" s="61"/>
      <c r="F6" s="61"/>
      <c r="G6" s="61"/>
    </row>
    <row r="7" spans="1:7">
      <c r="A7" s="62" t="s">
        <v>2</v>
      </c>
      <c r="B7" s="62"/>
      <c r="C7" s="61"/>
      <c r="D7" s="61"/>
      <c r="E7" s="61"/>
      <c r="F7" s="61"/>
      <c r="G7" s="61"/>
    </row>
    <row r="8" spans="1:7">
      <c r="A8" s="163" t="s">
        <v>3</v>
      </c>
      <c r="B8" s="163"/>
      <c r="C8" s="61"/>
      <c r="D8" s="61"/>
      <c r="E8" s="61"/>
      <c r="F8" s="61"/>
      <c r="G8" s="61"/>
    </row>
    <row r="9" spans="1:7">
      <c r="A9" s="63" t="s">
        <v>101</v>
      </c>
      <c r="B9" s="61"/>
      <c r="C9" s="61"/>
      <c r="D9" s="61"/>
      <c r="E9" s="61"/>
      <c r="F9" s="61"/>
      <c r="G9" s="61"/>
    </row>
    <row r="10" spans="1:7">
      <c r="A10" s="164" t="s">
        <v>4</v>
      </c>
      <c r="B10" s="164" t="s">
        <v>5</v>
      </c>
      <c r="C10" s="164" t="s">
        <v>36</v>
      </c>
      <c r="D10" s="165" t="s">
        <v>15</v>
      </c>
      <c r="E10" s="165" t="s">
        <v>37</v>
      </c>
      <c r="F10" s="167" t="s">
        <v>81</v>
      </c>
      <c r="G10" s="167"/>
    </row>
    <row r="11" spans="1:7">
      <c r="A11" s="164"/>
      <c r="B11" s="164"/>
      <c r="C11" s="164"/>
      <c r="D11" s="166"/>
      <c r="E11" s="166"/>
      <c r="F11" s="64" t="s">
        <v>38</v>
      </c>
      <c r="G11" s="64" t="s">
        <v>39</v>
      </c>
    </row>
    <row r="12" spans="1:7">
      <c r="A12" s="65">
        <v>1</v>
      </c>
      <c r="B12" s="65"/>
      <c r="C12" s="65"/>
      <c r="D12" s="65"/>
      <c r="E12" s="65"/>
      <c r="F12" s="65"/>
      <c r="G12" s="65"/>
    </row>
    <row r="13" spans="1:7">
      <c r="A13" s="65">
        <v>2</v>
      </c>
      <c r="B13" s="65"/>
      <c r="C13" s="65"/>
      <c r="D13" s="65"/>
      <c r="E13" s="65"/>
      <c r="F13" s="65"/>
      <c r="G13" s="65"/>
    </row>
    <row r="14" spans="1:7">
      <c r="A14" s="66"/>
      <c r="B14" s="67" t="s">
        <v>9</v>
      </c>
      <c r="C14" s="66"/>
      <c r="D14" s="66"/>
      <c r="E14" s="66"/>
      <c r="F14" s="66"/>
      <c r="G14" s="66"/>
    </row>
  </sheetData>
  <mergeCells count="9">
    <mergeCell ref="A1:G1"/>
    <mergeCell ref="A6:B6"/>
    <mergeCell ref="A8:B8"/>
    <mergeCell ref="A10:A11"/>
    <mergeCell ref="B10:B11"/>
    <mergeCell ref="C10:C11"/>
    <mergeCell ref="D10:D11"/>
    <mergeCell ref="E10:E11"/>
    <mergeCell ref="F10:G10"/>
  </mergeCells>
  <pageMargins left="0.7" right="0.7" top="0.75" bottom="0.75" header="0.3" footer="0.3"/>
  <pageSetup paperSize="9" scale="62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H13"/>
  <sheetViews>
    <sheetView zoomScale="60" zoomScaleNormal="60" workbookViewId="0">
      <selection activeCell="A9" sqref="A9"/>
    </sheetView>
  </sheetViews>
  <sheetFormatPr defaultColWidth="9.109375" defaultRowHeight="24.6"/>
  <cols>
    <col min="1" max="1" width="6.109375" style="60" customWidth="1"/>
    <col min="2" max="2" width="22.88671875" style="60" customWidth="1"/>
    <col min="3" max="3" width="23.5546875" style="60" customWidth="1"/>
    <col min="4" max="4" width="23.5546875" style="142" customWidth="1"/>
    <col min="5" max="5" width="19.33203125" style="60" customWidth="1"/>
    <col min="6" max="6" width="14.21875" style="60" customWidth="1"/>
    <col min="7" max="7" width="13.6640625" style="60" customWidth="1"/>
    <col min="8" max="16384" width="9.109375" style="60"/>
  </cols>
  <sheetData>
    <row r="1" spans="1:8">
      <c r="A1" s="162" t="s">
        <v>91</v>
      </c>
      <c r="B1" s="162"/>
      <c r="C1" s="162"/>
      <c r="D1" s="162"/>
      <c r="E1" s="162"/>
      <c r="F1" s="162"/>
      <c r="G1" s="162"/>
      <c r="H1" s="162"/>
    </row>
    <row r="2" spans="1:8">
      <c r="A2" s="61" t="s">
        <v>0</v>
      </c>
      <c r="B2" s="61"/>
      <c r="C2" s="61"/>
      <c r="D2" s="138"/>
      <c r="E2" s="61"/>
      <c r="F2" s="61"/>
      <c r="G2" s="61"/>
    </row>
    <row r="3" spans="1:8">
      <c r="A3" s="61" t="s">
        <v>98</v>
      </c>
      <c r="B3" s="61"/>
      <c r="C3" s="61"/>
      <c r="D3" s="138"/>
      <c r="E3" s="61"/>
      <c r="F3" s="61"/>
      <c r="G3" s="61"/>
    </row>
    <row r="4" spans="1:8">
      <c r="A4" s="61" t="s">
        <v>99</v>
      </c>
      <c r="B4" s="61"/>
      <c r="C4" s="61"/>
      <c r="D4" s="138"/>
      <c r="E4" s="61"/>
      <c r="F4" s="61"/>
      <c r="G4" s="61"/>
    </row>
    <row r="5" spans="1:8">
      <c r="A5" s="61" t="s">
        <v>100</v>
      </c>
      <c r="B5" s="61"/>
      <c r="C5" s="61"/>
      <c r="D5" s="138"/>
      <c r="E5" s="61"/>
      <c r="F5" s="61"/>
      <c r="G5" s="61"/>
    </row>
    <row r="6" spans="1:8">
      <c r="A6" s="163" t="s">
        <v>1</v>
      </c>
      <c r="B6" s="163"/>
      <c r="C6" s="61"/>
      <c r="D6" s="138"/>
      <c r="E6" s="61"/>
      <c r="F6" s="61"/>
      <c r="G6" s="61"/>
    </row>
    <row r="7" spans="1:8">
      <c r="A7" s="62" t="s">
        <v>2</v>
      </c>
      <c r="B7" s="62"/>
      <c r="C7" s="61"/>
      <c r="D7" s="138"/>
      <c r="E7" s="61"/>
      <c r="F7" s="61"/>
      <c r="G7" s="61"/>
    </row>
    <row r="8" spans="1:8">
      <c r="A8" s="163" t="s">
        <v>3</v>
      </c>
      <c r="B8" s="163"/>
      <c r="C8" s="61"/>
      <c r="D8" s="138"/>
      <c r="E8" s="61"/>
      <c r="F8" s="61"/>
      <c r="G8" s="61"/>
    </row>
    <row r="9" spans="1:8">
      <c r="A9" s="63" t="s">
        <v>107</v>
      </c>
      <c r="B9" s="61"/>
      <c r="C9" s="61"/>
      <c r="D9" s="138"/>
      <c r="E9" s="61"/>
      <c r="F9" s="61"/>
      <c r="G9" s="61"/>
    </row>
    <row r="10" spans="1:8">
      <c r="A10" s="68" t="s">
        <v>4</v>
      </c>
      <c r="B10" s="68" t="s">
        <v>5</v>
      </c>
      <c r="C10" s="68" t="s">
        <v>67</v>
      </c>
      <c r="D10" s="139" t="s">
        <v>36</v>
      </c>
      <c r="E10" s="68" t="s">
        <v>15</v>
      </c>
      <c r="F10" s="68" t="s">
        <v>68</v>
      </c>
      <c r="G10" s="68" t="s">
        <v>39</v>
      </c>
    </row>
    <row r="11" spans="1:8">
      <c r="A11" s="65">
        <v>1</v>
      </c>
      <c r="B11" s="65"/>
      <c r="C11" s="65"/>
      <c r="D11" s="140"/>
      <c r="E11" s="65"/>
      <c r="F11" s="65"/>
      <c r="G11" s="65"/>
    </row>
    <row r="12" spans="1:8">
      <c r="A12" s="65">
        <v>2</v>
      </c>
      <c r="B12" s="65"/>
      <c r="C12" s="65"/>
      <c r="D12" s="140"/>
      <c r="E12" s="65"/>
      <c r="F12" s="65"/>
      <c r="G12" s="65"/>
    </row>
    <row r="13" spans="1:8">
      <c r="A13" s="69"/>
      <c r="B13" s="70" t="s">
        <v>9</v>
      </c>
      <c r="C13" s="69"/>
      <c r="D13" s="141"/>
      <c r="E13" s="69"/>
      <c r="F13" s="69"/>
      <c r="G13" s="69"/>
    </row>
  </sheetData>
  <mergeCells count="3">
    <mergeCell ref="A6:B6"/>
    <mergeCell ref="A8:B8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N18"/>
  <sheetViews>
    <sheetView zoomScale="60" zoomScaleNormal="60" workbookViewId="0">
      <selection activeCell="I27" sqref="I27"/>
    </sheetView>
  </sheetViews>
  <sheetFormatPr defaultColWidth="9.109375" defaultRowHeight="24.6"/>
  <cols>
    <col min="1" max="1" width="6.109375" style="1" customWidth="1"/>
    <col min="2" max="2" width="26.5546875" style="1" customWidth="1"/>
    <col min="3" max="3" width="19.109375" style="1" customWidth="1"/>
    <col min="4" max="5" width="19.109375" style="142" customWidth="1"/>
    <col min="6" max="6" width="17.6640625" style="1" customWidth="1"/>
    <col min="7" max="7" width="16.109375" style="1" customWidth="1"/>
    <col min="8" max="8" width="18.77734375" style="1" customWidth="1"/>
    <col min="9" max="9" width="15.109375" style="1" customWidth="1"/>
    <col min="10" max="10" width="18.6640625" style="1" customWidth="1"/>
    <col min="11" max="11" width="18.44140625" style="1" customWidth="1"/>
    <col min="12" max="12" width="19" style="1" customWidth="1"/>
    <col min="13" max="13" width="15.109375" style="1" customWidth="1"/>
    <col min="14" max="14" width="15.6640625" style="1" customWidth="1"/>
    <col min="15" max="16384" width="9.109375" style="1"/>
  </cols>
  <sheetData>
    <row r="1" spans="1:14">
      <c r="A1" s="162" t="s">
        <v>91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4">
      <c r="A2" s="2" t="s">
        <v>0</v>
      </c>
      <c r="B2" s="2"/>
      <c r="C2" s="2"/>
      <c r="D2" s="138"/>
      <c r="E2" s="138"/>
      <c r="F2" s="2"/>
      <c r="G2" s="2"/>
    </row>
    <row r="3" spans="1:14">
      <c r="A3" s="2" t="s">
        <v>102</v>
      </c>
      <c r="B3" s="2"/>
      <c r="C3" s="2"/>
      <c r="D3" s="138"/>
      <c r="E3" s="138"/>
      <c r="F3" s="2"/>
      <c r="G3" s="2"/>
    </row>
    <row r="4" spans="1:14" s="60" customFormat="1">
      <c r="A4" s="61" t="s">
        <v>99</v>
      </c>
      <c r="B4" s="61"/>
      <c r="C4" s="61"/>
      <c r="D4" s="138"/>
      <c r="E4" s="138"/>
      <c r="F4" s="61"/>
    </row>
    <row r="5" spans="1:14" s="60" customFormat="1">
      <c r="A5" s="61" t="s">
        <v>100</v>
      </c>
      <c r="B5" s="61"/>
      <c r="C5" s="61"/>
      <c r="D5" s="138"/>
      <c r="E5" s="138"/>
      <c r="F5" s="61"/>
    </row>
    <row r="6" spans="1:14">
      <c r="A6" s="42" t="s">
        <v>1</v>
      </c>
      <c r="B6" s="2"/>
      <c r="C6" s="2"/>
      <c r="D6" s="138"/>
      <c r="E6" s="138"/>
      <c r="F6" s="2"/>
      <c r="G6" s="2"/>
    </row>
    <row r="7" spans="1:14">
      <c r="A7" s="42" t="s">
        <v>2</v>
      </c>
      <c r="B7" s="2"/>
      <c r="C7" s="2"/>
      <c r="D7" s="138"/>
      <c r="E7" s="138"/>
      <c r="F7" s="2"/>
      <c r="G7" s="2"/>
    </row>
    <row r="8" spans="1:14">
      <c r="A8" s="42" t="s">
        <v>3</v>
      </c>
      <c r="B8" s="2"/>
      <c r="C8" s="2"/>
      <c r="D8" s="138"/>
      <c r="E8" s="138"/>
      <c r="F8" s="2"/>
      <c r="G8" s="2"/>
    </row>
    <row r="9" spans="1:14">
      <c r="A9" s="28" t="s">
        <v>108</v>
      </c>
      <c r="B9" s="2"/>
      <c r="C9" s="2"/>
      <c r="D9" s="138"/>
      <c r="E9" s="138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39" t="s">
        <v>4</v>
      </c>
      <c r="B10" s="39" t="s">
        <v>5</v>
      </c>
      <c r="C10" s="39" t="s">
        <v>36</v>
      </c>
      <c r="D10" s="139" t="s">
        <v>15</v>
      </c>
      <c r="E10" s="139" t="s">
        <v>194</v>
      </c>
      <c r="F10" s="39" t="s">
        <v>103</v>
      </c>
      <c r="G10" s="39" t="s">
        <v>104</v>
      </c>
      <c r="H10" s="39" t="s">
        <v>105</v>
      </c>
      <c r="I10" s="39" t="s">
        <v>7</v>
      </c>
      <c r="J10" s="39" t="s">
        <v>106</v>
      </c>
      <c r="K10" s="43" t="s">
        <v>104</v>
      </c>
      <c r="L10" s="43" t="s">
        <v>105</v>
      </c>
      <c r="M10" s="39" t="s">
        <v>7</v>
      </c>
      <c r="N10" s="39" t="s">
        <v>8</v>
      </c>
    </row>
    <row r="11" spans="1:14">
      <c r="A11" s="5">
        <v>1</v>
      </c>
      <c r="B11" s="5"/>
      <c r="C11" s="5"/>
      <c r="D11" s="140"/>
      <c r="E11" s="140"/>
      <c r="F11" s="5"/>
      <c r="G11" s="5"/>
      <c r="H11" s="5"/>
      <c r="I11" s="20">
        <f>F11*G11*H11</f>
        <v>0</v>
      </c>
      <c r="J11" s="5"/>
      <c r="K11" s="5"/>
      <c r="L11" s="5"/>
      <c r="M11" s="20">
        <f>J11*K11*L11</f>
        <v>0</v>
      </c>
      <c r="N11" s="20">
        <f>I11+M11</f>
        <v>0</v>
      </c>
    </row>
    <row r="12" spans="1:14">
      <c r="A12" s="5">
        <v>2</v>
      </c>
      <c r="B12" s="5"/>
      <c r="C12" s="5"/>
      <c r="D12" s="140"/>
      <c r="E12" s="140"/>
      <c r="F12" s="5"/>
      <c r="G12" s="5"/>
      <c r="H12" s="5"/>
      <c r="I12" s="20">
        <f t="shared" ref="I12:I14" si="0">F12*G12*H12</f>
        <v>0</v>
      </c>
      <c r="J12" s="5"/>
      <c r="K12" s="5"/>
      <c r="L12" s="5"/>
      <c r="M12" s="20">
        <f t="shared" ref="M12:M14" si="1">J12*K12*L12</f>
        <v>0</v>
      </c>
      <c r="N12" s="20">
        <f t="shared" ref="N12:N14" si="2">I12+M12</f>
        <v>0</v>
      </c>
    </row>
    <row r="13" spans="1:14">
      <c r="A13" s="5"/>
      <c r="B13" s="48"/>
      <c r="C13" s="5"/>
      <c r="D13" s="140"/>
      <c r="E13" s="140"/>
      <c r="F13" s="5"/>
      <c r="G13" s="5"/>
      <c r="H13" s="5"/>
      <c r="I13" s="20">
        <f t="shared" si="0"/>
        <v>0</v>
      </c>
      <c r="J13" s="5"/>
      <c r="K13" s="5"/>
      <c r="L13" s="5"/>
      <c r="M13" s="20">
        <f t="shared" si="1"/>
        <v>0</v>
      </c>
      <c r="N13" s="20">
        <f t="shared" si="2"/>
        <v>0</v>
      </c>
    </row>
    <row r="14" spans="1:14">
      <c r="A14" s="5"/>
      <c r="B14" s="48"/>
      <c r="C14" s="5"/>
      <c r="D14" s="140"/>
      <c r="E14" s="140"/>
      <c r="F14" s="5"/>
      <c r="G14" s="5"/>
      <c r="H14" s="5"/>
      <c r="I14" s="20">
        <f t="shared" si="0"/>
        <v>0</v>
      </c>
      <c r="J14" s="5"/>
      <c r="K14" s="5"/>
      <c r="L14" s="5"/>
      <c r="M14" s="20">
        <f t="shared" si="1"/>
        <v>0</v>
      </c>
      <c r="N14" s="20">
        <f t="shared" si="2"/>
        <v>0</v>
      </c>
    </row>
    <row r="15" spans="1:14">
      <c r="A15" s="6"/>
      <c r="B15" s="49" t="s">
        <v>9</v>
      </c>
      <c r="C15" s="6"/>
      <c r="D15" s="141"/>
      <c r="E15" s="141"/>
      <c r="F15" s="6"/>
      <c r="G15" s="6"/>
      <c r="H15" s="6"/>
      <c r="I15" s="6"/>
      <c r="J15" s="6"/>
      <c r="K15" s="6"/>
      <c r="L15" s="6"/>
      <c r="M15" s="6"/>
      <c r="N15" s="6"/>
    </row>
    <row r="17" spans="1:2">
      <c r="A17" s="1" t="s">
        <v>10</v>
      </c>
    </row>
    <row r="18" spans="1:2">
      <c r="B18" s="1" t="s">
        <v>11</v>
      </c>
    </row>
  </sheetData>
  <mergeCells count="1">
    <mergeCell ref="A1:J1"/>
  </mergeCells>
  <pageMargins left="0.7" right="0.7" top="0.75" bottom="0.75" header="0.3" footer="0.3"/>
  <pageSetup scale="56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F14"/>
  <sheetViews>
    <sheetView zoomScale="60" zoomScaleNormal="60" workbookViewId="0">
      <selection activeCell="I27" sqref="I27"/>
    </sheetView>
  </sheetViews>
  <sheetFormatPr defaultColWidth="9.109375" defaultRowHeight="24.6"/>
  <cols>
    <col min="1" max="1" width="6.109375" style="60" customWidth="1"/>
    <col min="2" max="2" width="22.88671875" style="60" customWidth="1"/>
    <col min="3" max="3" width="23.5546875" style="60" customWidth="1"/>
    <col min="4" max="4" width="18.21875" style="60" customWidth="1"/>
    <col min="5" max="5" width="17.33203125" style="60" customWidth="1"/>
    <col min="6" max="16384" width="9.109375" style="60"/>
  </cols>
  <sheetData>
    <row r="1" spans="1:6">
      <c r="A1" s="162" t="s">
        <v>91</v>
      </c>
      <c r="B1" s="162"/>
      <c r="C1" s="162"/>
      <c r="D1" s="162"/>
      <c r="E1" s="162"/>
      <c r="F1" s="162"/>
    </row>
    <row r="2" spans="1:6">
      <c r="A2" s="61" t="s">
        <v>0</v>
      </c>
      <c r="B2" s="61"/>
      <c r="C2" s="61"/>
      <c r="D2" s="61"/>
      <c r="E2" s="61"/>
    </row>
    <row r="3" spans="1:6">
      <c r="A3" s="61" t="s">
        <v>98</v>
      </c>
      <c r="B3" s="61"/>
      <c r="C3" s="61"/>
      <c r="D3" s="61"/>
      <c r="E3" s="61"/>
    </row>
    <row r="4" spans="1:6">
      <c r="A4" s="61" t="s">
        <v>99</v>
      </c>
      <c r="B4" s="61"/>
      <c r="C4" s="61"/>
      <c r="D4" s="61"/>
      <c r="E4" s="61"/>
    </row>
    <row r="5" spans="1:6">
      <c r="A5" s="61" t="s">
        <v>100</v>
      </c>
      <c r="B5" s="61"/>
      <c r="C5" s="61"/>
      <c r="D5" s="61"/>
      <c r="E5" s="61"/>
    </row>
    <row r="6" spans="1:6">
      <c r="A6" s="163" t="s">
        <v>1</v>
      </c>
      <c r="B6" s="163"/>
      <c r="C6" s="61"/>
      <c r="D6" s="61"/>
      <c r="E6" s="61"/>
    </row>
    <row r="7" spans="1:6">
      <c r="A7" s="62" t="s">
        <v>2</v>
      </c>
      <c r="B7" s="62"/>
      <c r="C7" s="61"/>
      <c r="D7" s="61"/>
      <c r="E7" s="61"/>
    </row>
    <row r="8" spans="1:6">
      <c r="A8" s="163" t="s">
        <v>3</v>
      </c>
      <c r="B8" s="163"/>
      <c r="C8" s="61"/>
      <c r="D8" s="61"/>
      <c r="E8" s="61"/>
    </row>
    <row r="9" spans="1:6">
      <c r="A9" s="63" t="s">
        <v>109</v>
      </c>
      <c r="B9" s="61"/>
      <c r="C9" s="61"/>
      <c r="D9" s="61"/>
      <c r="E9" s="61"/>
    </row>
    <row r="10" spans="1:6">
      <c r="A10" s="164" t="s">
        <v>4</v>
      </c>
      <c r="B10" s="164" t="s">
        <v>5</v>
      </c>
      <c r="C10" s="164" t="s">
        <v>36</v>
      </c>
      <c r="D10" s="167" t="s">
        <v>110</v>
      </c>
      <c r="E10" s="167"/>
    </row>
    <row r="11" spans="1:6">
      <c r="A11" s="164"/>
      <c r="B11" s="164"/>
      <c r="C11" s="164"/>
      <c r="D11" s="68" t="s">
        <v>38</v>
      </c>
      <c r="E11" s="68" t="s">
        <v>39</v>
      </c>
    </row>
    <row r="12" spans="1:6">
      <c r="A12" s="65">
        <v>1</v>
      </c>
      <c r="B12" s="65"/>
      <c r="C12" s="65"/>
      <c r="D12" s="65"/>
      <c r="E12" s="65"/>
    </row>
    <row r="13" spans="1:6">
      <c r="A13" s="65">
        <v>2</v>
      </c>
      <c r="B13" s="65"/>
      <c r="C13" s="65"/>
      <c r="D13" s="65"/>
      <c r="E13" s="65"/>
    </row>
    <row r="14" spans="1:6">
      <c r="A14" s="69"/>
      <c r="B14" s="70" t="s">
        <v>9</v>
      </c>
      <c r="C14" s="69"/>
      <c r="D14" s="69"/>
      <c r="E14" s="69"/>
    </row>
  </sheetData>
  <mergeCells count="7">
    <mergeCell ref="A1:F1"/>
    <mergeCell ref="A6:B6"/>
    <mergeCell ref="A8:B8"/>
    <mergeCell ref="A10:A11"/>
    <mergeCell ref="B10:B11"/>
    <mergeCell ref="C10:C11"/>
    <mergeCell ref="D10:E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G14"/>
  <sheetViews>
    <sheetView zoomScale="60" zoomScaleNormal="60" workbookViewId="0">
      <selection activeCell="I27" sqref="I27"/>
    </sheetView>
  </sheetViews>
  <sheetFormatPr defaultColWidth="9.109375" defaultRowHeight="24.6"/>
  <cols>
    <col min="1" max="1" width="6.109375" style="60" customWidth="1"/>
    <col min="2" max="2" width="22.88671875" style="60" customWidth="1"/>
    <col min="3" max="3" width="23.5546875" style="60" customWidth="1"/>
    <col min="4" max="4" width="22.109375" style="60" customWidth="1"/>
    <col min="5" max="5" width="18.21875" style="60" customWidth="1"/>
    <col min="6" max="6" width="17.33203125" style="60" customWidth="1"/>
    <col min="7" max="16384" width="9.109375" style="60"/>
  </cols>
  <sheetData>
    <row r="1" spans="1:7">
      <c r="A1" s="162" t="s">
        <v>91</v>
      </c>
      <c r="B1" s="162"/>
      <c r="C1" s="162"/>
      <c r="D1" s="162"/>
      <c r="E1" s="162"/>
      <c r="F1" s="162"/>
      <c r="G1" s="162"/>
    </row>
    <row r="2" spans="1:7">
      <c r="A2" s="61" t="s">
        <v>0</v>
      </c>
      <c r="B2" s="61"/>
      <c r="C2" s="61"/>
      <c r="D2" s="61"/>
      <c r="E2" s="61"/>
      <c r="F2" s="61"/>
    </row>
    <row r="3" spans="1:7">
      <c r="A3" s="61" t="s">
        <v>98</v>
      </c>
      <c r="B3" s="61"/>
      <c r="C3" s="61"/>
      <c r="D3" s="61"/>
      <c r="E3" s="61"/>
      <c r="F3" s="61"/>
    </row>
    <row r="4" spans="1:7">
      <c r="A4" s="61" t="s">
        <v>99</v>
      </c>
      <c r="B4" s="61"/>
      <c r="C4" s="61"/>
      <c r="D4" s="61"/>
      <c r="E4" s="61"/>
      <c r="F4" s="61"/>
    </row>
    <row r="5" spans="1:7">
      <c r="A5" s="61" t="s">
        <v>100</v>
      </c>
      <c r="B5" s="61"/>
      <c r="C5" s="61"/>
      <c r="D5" s="61"/>
      <c r="E5" s="61"/>
      <c r="F5" s="61"/>
    </row>
    <row r="6" spans="1:7">
      <c r="A6" s="163" t="s">
        <v>1</v>
      </c>
      <c r="B6" s="163"/>
      <c r="C6" s="61"/>
      <c r="D6" s="61"/>
      <c r="E6" s="61"/>
      <c r="F6" s="61"/>
    </row>
    <row r="7" spans="1:7">
      <c r="A7" s="62" t="s">
        <v>2</v>
      </c>
      <c r="B7" s="62"/>
      <c r="C7" s="61"/>
      <c r="D7" s="61"/>
      <c r="E7" s="61"/>
      <c r="F7" s="61"/>
    </row>
    <row r="8" spans="1:7">
      <c r="A8" s="163" t="s">
        <v>3</v>
      </c>
      <c r="B8" s="163"/>
      <c r="C8" s="61"/>
      <c r="D8" s="61"/>
      <c r="E8" s="61"/>
      <c r="F8" s="61"/>
    </row>
    <row r="9" spans="1:7">
      <c r="A9" s="63" t="s">
        <v>111</v>
      </c>
      <c r="B9" s="61"/>
      <c r="C9" s="61"/>
      <c r="D9" s="61"/>
      <c r="E9" s="61"/>
      <c r="F9" s="61"/>
    </row>
    <row r="10" spans="1:7">
      <c r="A10" s="164" t="s">
        <v>4</v>
      </c>
      <c r="B10" s="164" t="s">
        <v>5</v>
      </c>
      <c r="C10" s="164" t="s">
        <v>36</v>
      </c>
      <c r="D10" s="165" t="s">
        <v>37</v>
      </c>
      <c r="E10" s="167" t="s">
        <v>81</v>
      </c>
      <c r="F10" s="167"/>
    </row>
    <row r="11" spans="1:7">
      <c r="A11" s="164"/>
      <c r="B11" s="164"/>
      <c r="C11" s="164"/>
      <c r="D11" s="166"/>
      <c r="E11" s="68" t="s">
        <v>38</v>
      </c>
      <c r="F11" s="68" t="s">
        <v>39</v>
      </c>
    </row>
    <row r="12" spans="1:7">
      <c r="A12" s="65">
        <v>1</v>
      </c>
      <c r="B12" s="65"/>
      <c r="C12" s="65"/>
      <c r="D12" s="65"/>
      <c r="E12" s="65"/>
      <c r="F12" s="65"/>
    </row>
    <row r="13" spans="1:7">
      <c r="A13" s="65">
        <v>2</v>
      </c>
      <c r="B13" s="65"/>
      <c r="C13" s="65"/>
      <c r="D13" s="65"/>
      <c r="E13" s="65"/>
      <c r="F13" s="65"/>
    </row>
    <row r="14" spans="1:7">
      <c r="A14" s="69"/>
      <c r="B14" s="70" t="s">
        <v>9</v>
      </c>
      <c r="C14" s="69"/>
      <c r="D14" s="69"/>
      <c r="E14" s="69"/>
      <c r="F14" s="69"/>
    </row>
  </sheetData>
  <mergeCells count="8">
    <mergeCell ref="A1:G1"/>
    <mergeCell ref="A6:B6"/>
    <mergeCell ref="A8:B8"/>
    <mergeCell ref="A10:A11"/>
    <mergeCell ref="B10:B11"/>
    <mergeCell ref="C10:C11"/>
    <mergeCell ref="D10:D11"/>
    <mergeCell ref="E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H14"/>
  <sheetViews>
    <sheetView zoomScale="60" zoomScaleNormal="60" workbookViewId="0">
      <selection activeCell="I27" sqref="I27"/>
    </sheetView>
  </sheetViews>
  <sheetFormatPr defaultColWidth="9.109375" defaultRowHeight="24.6"/>
  <cols>
    <col min="1" max="1" width="6.109375" style="60" customWidth="1"/>
    <col min="2" max="2" width="22.88671875" style="60" customWidth="1"/>
    <col min="3" max="3" width="23.5546875" style="60" customWidth="1"/>
    <col min="4" max="4" width="23.5546875" style="142" customWidth="1"/>
    <col min="5" max="5" width="22.109375" style="60" customWidth="1"/>
    <col min="6" max="6" width="18.21875" style="60" customWidth="1"/>
    <col min="7" max="7" width="17.33203125" style="60" customWidth="1"/>
    <col min="8" max="16384" width="9.109375" style="60"/>
  </cols>
  <sheetData>
    <row r="1" spans="1:8">
      <c r="A1" s="162" t="s">
        <v>91</v>
      </c>
      <c r="B1" s="162"/>
      <c r="C1" s="162"/>
      <c r="D1" s="162"/>
      <c r="E1" s="162"/>
      <c r="F1" s="162"/>
      <c r="G1" s="162"/>
      <c r="H1" s="162"/>
    </row>
    <row r="2" spans="1:8">
      <c r="A2" s="61" t="s">
        <v>0</v>
      </c>
      <c r="B2" s="61"/>
      <c r="C2" s="61"/>
      <c r="D2" s="138"/>
      <c r="E2" s="61"/>
      <c r="F2" s="61"/>
      <c r="G2" s="61"/>
    </row>
    <row r="3" spans="1:8">
      <c r="A3" s="61" t="s">
        <v>98</v>
      </c>
      <c r="B3" s="61"/>
      <c r="C3" s="61"/>
      <c r="D3" s="138"/>
      <c r="E3" s="61"/>
      <c r="F3" s="61"/>
      <c r="G3" s="61"/>
    </row>
    <row r="4" spans="1:8">
      <c r="A4" s="61" t="s">
        <v>99</v>
      </c>
      <c r="B4" s="61"/>
      <c r="C4" s="61"/>
      <c r="D4" s="138"/>
      <c r="E4" s="61"/>
      <c r="F4" s="61"/>
      <c r="G4" s="61"/>
    </row>
    <row r="5" spans="1:8">
      <c r="A5" s="61" t="s">
        <v>100</v>
      </c>
      <c r="B5" s="61"/>
      <c r="C5" s="61"/>
      <c r="D5" s="138"/>
      <c r="E5" s="61"/>
      <c r="F5" s="61"/>
      <c r="G5" s="61"/>
    </row>
    <row r="6" spans="1:8">
      <c r="A6" s="163" t="s">
        <v>1</v>
      </c>
      <c r="B6" s="163"/>
      <c r="C6" s="61"/>
      <c r="D6" s="138"/>
      <c r="E6" s="61"/>
      <c r="F6" s="61"/>
      <c r="G6" s="61"/>
    </row>
    <row r="7" spans="1:8">
      <c r="A7" s="62" t="s">
        <v>2</v>
      </c>
      <c r="B7" s="62"/>
      <c r="C7" s="61"/>
      <c r="D7" s="138"/>
      <c r="E7" s="61"/>
      <c r="F7" s="61"/>
      <c r="G7" s="61"/>
    </row>
    <row r="8" spans="1:8">
      <c r="A8" s="163" t="s">
        <v>3</v>
      </c>
      <c r="B8" s="163"/>
      <c r="C8" s="61"/>
      <c r="D8" s="138"/>
      <c r="E8" s="61"/>
      <c r="F8" s="61"/>
      <c r="G8" s="61"/>
    </row>
    <row r="9" spans="1:8">
      <c r="A9" s="63" t="s">
        <v>74</v>
      </c>
      <c r="B9" s="61"/>
      <c r="C9" s="61"/>
      <c r="D9" s="138"/>
      <c r="E9" s="61"/>
      <c r="F9" s="61"/>
      <c r="G9" s="61"/>
    </row>
    <row r="10" spans="1:8">
      <c r="A10" s="164" t="s">
        <v>4</v>
      </c>
      <c r="B10" s="164" t="s">
        <v>5</v>
      </c>
      <c r="C10" s="164" t="s">
        <v>36</v>
      </c>
      <c r="D10" s="143" t="s">
        <v>67</v>
      </c>
      <c r="E10" s="165" t="s">
        <v>37</v>
      </c>
      <c r="F10" s="167" t="s">
        <v>81</v>
      </c>
      <c r="G10" s="167"/>
    </row>
    <row r="11" spans="1:8">
      <c r="A11" s="164"/>
      <c r="B11" s="164"/>
      <c r="C11" s="164"/>
      <c r="D11" s="144"/>
      <c r="E11" s="166"/>
      <c r="F11" s="68" t="s">
        <v>38</v>
      </c>
      <c r="G11" s="68" t="s">
        <v>39</v>
      </c>
    </row>
    <row r="12" spans="1:8">
      <c r="A12" s="65">
        <v>1</v>
      </c>
      <c r="B12" s="65"/>
      <c r="C12" s="65"/>
      <c r="D12" s="140"/>
      <c r="E12" s="65"/>
      <c r="F12" s="65"/>
      <c r="G12" s="65"/>
    </row>
    <row r="13" spans="1:8">
      <c r="A13" s="65">
        <v>2</v>
      </c>
      <c r="B13" s="65"/>
      <c r="C13" s="65"/>
      <c r="D13" s="140"/>
      <c r="E13" s="65"/>
      <c r="F13" s="65"/>
      <c r="G13" s="65"/>
    </row>
    <row r="14" spans="1:8">
      <c r="A14" s="69"/>
      <c r="B14" s="70" t="s">
        <v>9</v>
      </c>
      <c r="C14" s="69"/>
      <c r="D14" s="141"/>
      <c r="E14" s="69"/>
      <c r="F14" s="69"/>
      <c r="G14" s="69"/>
    </row>
  </sheetData>
  <mergeCells count="8">
    <mergeCell ref="A1:H1"/>
    <mergeCell ref="A6:B6"/>
    <mergeCell ref="A8:B8"/>
    <mergeCell ref="B10:B11"/>
    <mergeCell ref="C10:C11"/>
    <mergeCell ref="A10:A11"/>
    <mergeCell ref="F10:G10"/>
    <mergeCell ref="E10:E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O16"/>
  <sheetViews>
    <sheetView zoomScale="60" zoomScaleNormal="70" workbookViewId="0">
      <selection activeCell="I27" sqref="I27"/>
    </sheetView>
  </sheetViews>
  <sheetFormatPr defaultColWidth="9.109375" defaultRowHeight="24.6"/>
  <cols>
    <col min="1" max="1" width="6.109375" style="1" customWidth="1"/>
    <col min="2" max="2" width="46.21875" style="1" customWidth="1"/>
    <col min="3" max="3" width="29.44140625" style="1" customWidth="1"/>
    <col min="4" max="4" width="13.6640625" style="1" customWidth="1"/>
    <col min="5" max="5" width="9.5546875" style="1" customWidth="1"/>
    <col min="6" max="6" width="9.109375" style="1"/>
    <col min="7" max="7" width="9.109375" style="142"/>
    <col min="8" max="8" width="9.109375" style="1"/>
    <col min="9" max="9" width="13.109375" style="1" customWidth="1"/>
    <col min="10" max="12" width="9.109375" style="1"/>
    <col min="13" max="13" width="14.6640625" style="1" customWidth="1"/>
    <col min="14" max="14" width="11.21875" style="1" customWidth="1"/>
    <col min="15" max="15" width="14.21875" style="1" customWidth="1"/>
    <col min="16" max="16384" width="9.109375" style="1"/>
  </cols>
  <sheetData>
    <row r="1" spans="1:15">
      <c r="A1" s="162" t="s">
        <v>91</v>
      </c>
      <c r="B1" s="162"/>
      <c r="C1" s="162"/>
      <c r="D1" s="162"/>
      <c r="E1" s="162"/>
    </row>
    <row r="2" spans="1:15" s="60" customFormat="1">
      <c r="A2" s="61" t="s">
        <v>0</v>
      </c>
      <c r="B2" s="61"/>
      <c r="C2" s="61"/>
      <c r="D2" s="61"/>
      <c r="E2" s="61"/>
      <c r="F2" s="61"/>
      <c r="G2" s="138"/>
    </row>
    <row r="3" spans="1:15" s="60" customFormat="1">
      <c r="A3" s="61" t="s">
        <v>98</v>
      </c>
      <c r="B3" s="61"/>
      <c r="C3" s="61"/>
      <c r="D3" s="61"/>
      <c r="E3" s="61"/>
      <c r="F3" s="61"/>
      <c r="G3" s="138"/>
    </row>
    <row r="4" spans="1:15" s="60" customFormat="1">
      <c r="A4" s="61" t="s">
        <v>99</v>
      </c>
      <c r="B4" s="61"/>
      <c r="C4" s="61"/>
      <c r="D4" s="61"/>
      <c r="E4" s="61"/>
      <c r="F4" s="61"/>
      <c r="G4" s="138"/>
    </row>
    <row r="5" spans="1:15" s="60" customFormat="1">
      <c r="A5" s="61" t="s">
        <v>100</v>
      </c>
      <c r="B5" s="61"/>
      <c r="C5" s="61"/>
      <c r="D5" s="61"/>
      <c r="E5" s="61"/>
      <c r="F5" s="61"/>
      <c r="G5" s="138"/>
    </row>
    <row r="6" spans="1:15" s="60" customFormat="1">
      <c r="A6" s="163" t="s">
        <v>1</v>
      </c>
      <c r="B6" s="163"/>
      <c r="C6" s="61"/>
      <c r="D6" s="61"/>
      <c r="E6" s="61"/>
      <c r="F6" s="61"/>
      <c r="G6" s="138"/>
    </row>
    <row r="7" spans="1:15" s="60" customFormat="1">
      <c r="A7" s="62" t="s">
        <v>2</v>
      </c>
      <c r="B7" s="62"/>
      <c r="C7" s="61"/>
      <c r="D7" s="61"/>
      <c r="E7" s="61"/>
      <c r="F7" s="61"/>
      <c r="G7" s="138"/>
    </row>
    <row r="8" spans="1:15">
      <c r="A8" s="3" t="s">
        <v>12</v>
      </c>
      <c r="B8" s="2"/>
      <c r="C8" s="2"/>
      <c r="D8" s="2"/>
      <c r="E8" s="2"/>
    </row>
    <row r="9" spans="1:15">
      <c r="A9" s="28" t="s">
        <v>112</v>
      </c>
      <c r="B9" s="2"/>
      <c r="C9" s="2"/>
      <c r="D9" s="2"/>
      <c r="E9" s="2"/>
    </row>
    <row r="10" spans="1:15" ht="24" customHeight="1">
      <c r="A10" s="168" t="s">
        <v>4</v>
      </c>
      <c r="B10" s="168" t="s">
        <v>13</v>
      </c>
      <c r="C10" s="168" t="s">
        <v>15</v>
      </c>
      <c r="D10" s="168" t="s">
        <v>16</v>
      </c>
      <c r="E10" s="168" t="s">
        <v>17</v>
      </c>
      <c r="F10" s="168"/>
      <c r="G10" s="168"/>
      <c r="H10" s="168"/>
      <c r="I10" s="168"/>
      <c r="J10" s="169" t="s">
        <v>18</v>
      </c>
      <c r="K10" s="169"/>
      <c r="L10" s="169"/>
      <c r="M10" s="169"/>
      <c r="N10" s="172" t="s">
        <v>19</v>
      </c>
      <c r="O10" s="174" t="s">
        <v>20</v>
      </c>
    </row>
    <row r="11" spans="1:15">
      <c r="A11" s="168"/>
      <c r="B11" s="168"/>
      <c r="C11" s="168"/>
      <c r="D11" s="168"/>
      <c r="E11" s="39" t="s">
        <v>21</v>
      </c>
      <c r="F11" s="40" t="s">
        <v>22</v>
      </c>
      <c r="G11" s="145" t="s">
        <v>195</v>
      </c>
      <c r="H11" s="40" t="s">
        <v>6</v>
      </c>
      <c r="I11" s="40" t="s">
        <v>7</v>
      </c>
      <c r="J11" s="39" t="s">
        <v>21</v>
      </c>
      <c r="K11" s="40" t="s">
        <v>23</v>
      </c>
      <c r="L11" s="40" t="s">
        <v>6</v>
      </c>
      <c r="M11" s="40" t="s">
        <v>7</v>
      </c>
      <c r="N11" s="173"/>
      <c r="O11" s="169"/>
    </row>
    <row r="12" spans="1:15" ht="19.5" customHeight="1">
      <c r="A12" s="169">
        <v>1</v>
      </c>
      <c r="B12" s="170"/>
      <c r="C12" s="40"/>
      <c r="D12" s="5"/>
      <c r="E12" s="5"/>
      <c r="F12" s="5"/>
      <c r="G12" s="140"/>
      <c r="H12" s="5"/>
      <c r="I12" s="20">
        <f>D12*E12*F12*H12</f>
        <v>0</v>
      </c>
      <c r="J12" s="5"/>
      <c r="K12" s="5"/>
      <c r="L12" s="5"/>
      <c r="M12" s="20">
        <f>D12*J12*K12*L12</f>
        <v>0</v>
      </c>
      <c r="N12" s="20"/>
      <c r="O12" s="46">
        <f>I12+M12+N12</f>
        <v>0</v>
      </c>
    </row>
    <row r="13" spans="1:15" ht="22.8" customHeight="1">
      <c r="A13" s="169"/>
      <c r="B13" s="171"/>
      <c r="C13" s="41"/>
      <c r="D13" s="5"/>
      <c r="E13" s="5"/>
      <c r="F13" s="5"/>
      <c r="G13" s="140"/>
      <c r="H13" s="5"/>
      <c r="I13" s="20">
        <f>D13*E13*F13*H13</f>
        <v>0</v>
      </c>
      <c r="J13" s="5"/>
      <c r="K13" s="5"/>
      <c r="L13" s="5"/>
      <c r="M13" s="20">
        <f>D13*J13*K13*L13</f>
        <v>0</v>
      </c>
      <c r="N13" s="5"/>
      <c r="O13" s="46">
        <f>I13+M13+N13</f>
        <v>0</v>
      </c>
    </row>
    <row r="14" spans="1:15">
      <c r="A14" s="169">
        <v>2</v>
      </c>
      <c r="B14" s="170"/>
      <c r="C14" s="55"/>
      <c r="D14" s="5"/>
      <c r="E14" s="5"/>
      <c r="F14" s="5"/>
      <c r="G14" s="140"/>
      <c r="H14" s="5"/>
      <c r="I14" s="20">
        <f>D14*E14*F14*H14</f>
        <v>0</v>
      </c>
      <c r="J14" s="5"/>
      <c r="K14" s="5"/>
      <c r="L14" s="5"/>
      <c r="M14" s="20">
        <f>D14*J14*K14*L14</f>
        <v>0</v>
      </c>
      <c r="N14" s="20"/>
      <c r="O14" s="46">
        <f>I14+M14+N14</f>
        <v>0</v>
      </c>
    </row>
    <row r="15" spans="1:15">
      <c r="A15" s="169"/>
      <c r="B15" s="171"/>
      <c r="C15" s="56"/>
      <c r="D15" s="5"/>
      <c r="E15" s="5"/>
      <c r="F15" s="5"/>
      <c r="G15" s="140"/>
      <c r="H15" s="5"/>
      <c r="I15" s="20">
        <f>D15*E15*F15*H15</f>
        <v>0</v>
      </c>
      <c r="J15" s="5"/>
      <c r="K15" s="5"/>
      <c r="L15" s="5"/>
      <c r="M15" s="20">
        <f>D15*J15*K15*L15</f>
        <v>0</v>
      </c>
      <c r="N15" s="5"/>
      <c r="O15" s="46">
        <f>I15+M15+N15</f>
        <v>0</v>
      </c>
    </row>
    <row r="16" spans="1:15">
      <c r="A16" s="5"/>
      <c r="B16" s="80" t="s">
        <v>9</v>
      </c>
      <c r="C16" s="5"/>
      <c r="D16" s="5"/>
      <c r="E16" s="5"/>
      <c r="F16" s="5"/>
      <c r="G16" s="140"/>
      <c r="H16" s="5"/>
      <c r="I16" s="5"/>
      <c r="J16" s="5"/>
      <c r="K16" s="5"/>
      <c r="L16" s="5"/>
      <c r="M16" s="5"/>
      <c r="N16" s="5"/>
      <c r="O16" s="5"/>
    </row>
  </sheetData>
  <mergeCells count="14">
    <mergeCell ref="A14:A15"/>
    <mergeCell ref="B14:B15"/>
    <mergeCell ref="J10:M10"/>
    <mergeCell ref="N10:N11"/>
    <mergeCell ref="O10:O11"/>
    <mergeCell ref="A12:A13"/>
    <mergeCell ref="B12:B13"/>
    <mergeCell ref="A1:E1"/>
    <mergeCell ref="A10:A11"/>
    <mergeCell ref="B10:B11"/>
    <mergeCell ref="C10:C11"/>
    <mergeCell ref="D10:D11"/>
    <mergeCell ref="E10:I10"/>
    <mergeCell ref="A6:B6"/>
  </mergeCells>
  <pageMargins left="0.7" right="0.7" top="0.75" bottom="0.75" header="0.3" footer="0.3"/>
  <pageSetup scale="57" fitToHeight="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F15"/>
  <sheetViews>
    <sheetView zoomScale="80" zoomScaleNormal="8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46.21875" style="1" customWidth="1"/>
    <col min="3" max="3" width="27" style="1" customWidth="1"/>
    <col min="4" max="4" width="21.5546875" style="1" customWidth="1"/>
    <col min="5" max="5" width="23" style="1" customWidth="1"/>
    <col min="6" max="6" width="25.21875" style="1" customWidth="1"/>
    <col min="7" max="16384" width="9.109375" style="1"/>
  </cols>
  <sheetData>
    <row r="1" spans="1:6">
      <c r="A1" s="162" t="s">
        <v>91</v>
      </c>
      <c r="B1" s="162"/>
      <c r="C1" s="162"/>
      <c r="D1" s="162"/>
      <c r="E1" s="162"/>
      <c r="F1" s="30"/>
    </row>
    <row r="2" spans="1:6" s="60" customFormat="1">
      <c r="A2" s="61" t="s">
        <v>0</v>
      </c>
      <c r="B2" s="61"/>
      <c r="C2" s="61"/>
      <c r="D2" s="61"/>
      <c r="E2" s="61"/>
      <c r="F2" s="61"/>
    </row>
    <row r="3" spans="1:6" s="60" customFormat="1">
      <c r="A3" s="61" t="s">
        <v>98</v>
      </c>
      <c r="B3" s="61"/>
      <c r="C3" s="61"/>
      <c r="D3" s="61"/>
      <c r="E3" s="61"/>
      <c r="F3" s="61"/>
    </row>
    <row r="4" spans="1:6" s="60" customFormat="1">
      <c r="A4" s="61" t="s">
        <v>99</v>
      </c>
      <c r="B4" s="61"/>
      <c r="C4" s="61"/>
      <c r="D4" s="61"/>
      <c r="E4" s="61"/>
      <c r="F4" s="61"/>
    </row>
    <row r="5" spans="1:6" s="60" customFormat="1">
      <c r="A5" s="61" t="s">
        <v>100</v>
      </c>
      <c r="B5" s="61"/>
      <c r="C5" s="61"/>
      <c r="D5" s="61"/>
      <c r="E5" s="61"/>
      <c r="F5" s="61"/>
    </row>
    <row r="6" spans="1:6" s="60" customFormat="1">
      <c r="A6" s="163" t="s">
        <v>1</v>
      </c>
      <c r="B6" s="163"/>
      <c r="C6" s="61"/>
      <c r="D6" s="61"/>
      <c r="E6" s="61"/>
      <c r="F6" s="61"/>
    </row>
    <row r="7" spans="1:6">
      <c r="A7" s="3" t="s">
        <v>2</v>
      </c>
      <c r="B7" s="2"/>
      <c r="C7" s="2"/>
      <c r="D7" s="2"/>
      <c r="E7" s="2"/>
      <c r="F7" s="2"/>
    </row>
    <row r="8" spans="1:6">
      <c r="A8" s="3" t="s">
        <v>12</v>
      </c>
      <c r="B8" s="2"/>
      <c r="C8" s="2"/>
      <c r="D8" s="2"/>
      <c r="E8" s="2"/>
      <c r="F8" s="2"/>
    </row>
    <row r="9" spans="1:6">
      <c r="A9" s="28" t="s">
        <v>28</v>
      </c>
      <c r="B9" s="2"/>
      <c r="C9" s="2"/>
      <c r="D9" s="2"/>
    </row>
    <row r="10" spans="1:6" ht="24" customHeight="1">
      <c r="A10" s="4" t="s">
        <v>4</v>
      </c>
      <c r="B10" s="54" t="s">
        <v>113</v>
      </c>
      <c r="C10" s="39" t="s">
        <v>30</v>
      </c>
      <c r="D10" s="39" t="s">
        <v>31</v>
      </c>
      <c r="E10" s="40" t="s">
        <v>32</v>
      </c>
      <c r="F10" s="40" t="s">
        <v>94</v>
      </c>
    </row>
    <row r="11" spans="1:6">
      <c r="A11" s="175">
        <v>1</v>
      </c>
      <c r="B11" s="177"/>
      <c r="C11" s="10"/>
      <c r="D11" s="10"/>
      <c r="E11" s="40"/>
      <c r="F11" s="33"/>
    </row>
    <row r="12" spans="1:6">
      <c r="A12" s="176"/>
      <c r="B12" s="177"/>
      <c r="C12" s="10"/>
      <c r="D12" s="10"/>
      <c r="E12" s="5"/>
      <c r="F12" s="5"/>
    </row>
    <row r="13" spans="1:6">
      <c r="A13" s="175">
        <v>2</v>
      </c>
      <c r="B13" s="177"/>
      <c r="C13" s="58"/>
      <c r="D13" s="58"/>
      <c r="E13" s="55"/>
      <c r="F13" s="33"/>
    </row>
    <row r="14" spans="1:6">
      <c r="A14" s="176"/>
      <c r="B14" s="177"/>
      <c r="C14" s="58"/>
      <c r="D14" s="58"/>
      <c r="E14" s="5"/>
      <c r="F14" s="5"/>
    </row>
    <row r="15" spans="1:6">
      <c r="A15" s="5"/>
      <c r="B15" s="80" t="s">
        <v>9</v>
      </c>
      <c r="C15" s="5"/>
      <c r="D15" s="5"/>
      <c r="E15" s="5"/>
      <c r="F15" s="32">
        <f>SUM(F11:F12)</f>
        <v>0</v>
      </c>
    </row>
  </sheetData>
  <mergeCells count="6">
    <mergeCell ref="A1:E1"/>
    <mergeCell ref="A11:A12"/>
    <mergeCell ref="B11:B12"/>
    <mergeCell ref="A6:B6"/>
    <mergeCell ref="A13:A14"/>
    <mergeCell ref="B13:B14"/>
  </mergeCells>
  <pageMargins left="0.7" right="0.7" top="0.75" bottom="0.75" header="0.3" footer="0.3"/>
  <pageSetup scale="92" fitToHeight="0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zoomScale="90" zoomScaleNormal="90" workbookViewId="0">
      <selection activeCell="L8" sqref="L8"/>
    </sheetView>
  </sheetViews>
  <sheetFormatPr defaultColWidth="9.109375" defaultRowHeight="24.6"/>
  <cols>
    <col min="1" max="1" width="9.109375" style="45"/>
    <col min="2" max="2" width="20.44140625" style="45" customWidth="1"/>
    <col min="3" max="4" width="16" style="45" customWidth="1"/>
    <col min="5" max="5" width="17" style="45" hidden="1" customWidth="1"/>
    <col min="6" max="6" width="11.21875" style="45" hidden="1" customWidth="1"/>
    <col min="7" max="7" width="14" style="45" customWidth="1"/>
    <col min="8" max="16384" width="9.109375" style="45"/>
  </cols>
  <sheetData>
    <row r="1" spans="1:12" s="1" customFormat="1">
      <c r="A1" s="178" t="s">
        <v>91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</row>
    <row r="2" spans="1:12" s="1" customFormat="1">
      <c r="A2" s="2" t="s">
        <v>0</v>
      </c>
      <c r="B2" s="2"/>
      <c r="C2" s="2"/>
      <c r="D2" s="2"/>
      <c r="E2" s="2"/>
      <c r="F2" s="2"/>
    </row>
    <row r="3" spans="1:12" s="1" customFormat="1">
      <c r="A3" s="42" t="s">
        <v>1</v>
      </c>
      <c r="B3" s="2"/>
      <c r="C3" s="2"/>
      <c r="D3" s="2"/>
      <c r="E3" s="2"/>
      <c r="F3" s="2"/>
    </row>
    <row r="4" spans="1:12" s="1" customFormat="1">
      <c r="A4" s="42" t="s">
        <v>2</v>
      </c>
      <c r="B4" s="2"/>
      <c r="C4" s="2"/>
      <c r="D4" s="2"/>
      <c r="E4" s="2"/>
      <c r="F4" s="2"/>
    </row>
    <row r="5" spans="1:12" s="1" customFormat="1">
      <c r="A5" s="42" t="s">
        <v>3</v>
      </c>
      <c r="B5" s="2"/>
      <c r="C5" s="2"/>
      <c r="D5" s="2"/>
      <c r="E5" s="2"/>
      <c r="F5" s="2"/>
    </row>
    <row r="6" spans="1:12" ht="20.25" customHeight="1">
      <c r="A6" s="44" t="s">
        <v>76</v>
      </c>
    </row>
    <row r="7" spans="1:12">
      <c r="A7" s="39" t="s">
        <v>4</v>
      </c>
      <c r="B7" s="39" t="s">
        <v>5</v>
      </c>
      <c r="C7" s="39" t="s">
        <v>67</v>
      </c>
      <c r="D7" s="39" t="s">
        <v>36</v>
      </c>
      <c r="E7" s="39" t="s">
        <v>68</v>
      </c>
      <c r="F7" s="39" t="s">
        <v>39</v>
      </c>
      <c r="G7" s="39" t="s">
        <v>7</v>
      </c>
    </row>
    <row r="8" spans="1:12">
      <c r="A8" s="5">
        <v>1</v>
      </c>
      <c r="B8" s="5"/>
      <c r="C8" s="5"/>
      <c r="D8" s="5"/>
      <c r="E8" s="12">
        <v>2500</v>
      </c>
      <c r="F8" s="5">
        <v>12</v>
      </c>
      <c r="G8" s="32"/>
    </row>
    <row r="9" spans="1:12">
      <c r="A9" s="5">
        <v>2</v>
      </c>
      <c r="B9" s="5"/>
      <c r="C9" s="5"/>
      <c r="D9" s="5"/>
      <c r="E9" s="5"/>
      <c r="F9" s="5"/>
      <c r="G9" s="5"/>
    </row>
    <row r="10" spans="1:12">
      <c r="A10" s="5">
        <v>3</v>
      </c>
      <c r="B10" s="48"/>
      <c r="C10" s="5"/>
      <c r="D10" s="5"/>
      <c r="E10" s="5"/>
      <c r="F10" s="5"/>
      <c r="G10" s="5"/>
    </row>
    <row r="11" spans="1:12">
      <c r="A11" s="5">
        <v>4</v>
      </c>
      <c r="B11" s="48"/>
      <c r="C11" s="5"/>
      <c r="D11" s="5"/>
      <c r="E11" s="5"/>
      <c r="F11" s="5"/>
      <c r="G11" s="5"/>
    </row>
    <row r="12" spans="1:12">
      <c r="A12" s="5">
        <v>5</v>
      </c>
      <c r="B12" s="48"/>
      <c r="C12" s="5"/>
      <c r="D12" s="5"/>
      <c r="E12" s="5"/>
      <c r="F12" s="5"/>
      <c r="G12" s="5"/>
    </row>
    <row r="13" spans="1:12">
      <c r="A13" s="5">
        <v>6</v>
      </c>
      <c r="B13" s="48"/>
      <c r="C13" s="5"/>
      <c r="D13" s="5"/>
      <c r="E13" s="5"/>
      <c r="F13" s="5"/>
      <c r="G13" s="5"/>
    </row>
    <row r="14" spans="1:12">
      <c r="A14" s="6"/>
      <c r="B14" s="49" t="s">
        <v>9</v>
      </c>
      <c r="C14" s="6"/>
      <c r="D14" s="6"/>
      <c r="E14" s="6"/>
      <c r="F14" s="6"/>
      <c r="G14" s="6"/>
    </row>
  </sheetData>
  <mergeCells count="1">
    <mergeCell ref="A1:L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zoomScale="90" zoomScaleNormal="90" workbookViewId="0">
      <selection activeCell="E13" sqref="D13:E13"/>
    </sheetView>
  </sheetViews>
  <sheetFormatPr defaultColWidth="9.109375" defaultRowHeight="24.6"/>
  <cols>
    <col min="1" max="1" width="6.109375" style="1" customWidth="1"/>
    <col min="2" max="2" width="48.5546875" style="1" customWidth="1"/>
    <col min="3" max="4" width="16" customWidth="1"/>
    <col min="5" max="5" width="9.109375" style="1"/>
    <col min="6" max="6" width="17.6640625" style="1" customWidth="1"/>
    <col min="7" max="7" width="10.109375" style="1" customWidth="1"/>
    <col min="8" max="8" width="12.6640625" style="1" customWidth="1"/>
    <col min="9" max="16384" width="9.109375" style="1"/>
  </cols>
  <sheetData>
    <row r="1" spans="1:8">
      <c r="A1" s="178" t="s">
        <v>91</v>
      </c>
      <c r="B1" s="178"/>
      <c r="C1" s="178"/>
      <c r="D1" s="178"/>
    </row>
    <row r="2" spans="1:8">
      <c r="A2" s="2" t="s">
        <v>0</v>
      </c>
      <c r="B2" s="2"/>
      <c r="C2" s="24"/>
      <c r="D2" s="24"/>
    </row>
    <row r="3" spans="1:8">
      <c r="A3" s="11" t="s">
        <v>1</v>
      </c>
      <c r="B3" s="2"/>
      <c r="C3" s="25"/>
      <c r="D3" s="25"/>
    </row>
    <row r="4" spans="1:8">
      <c r="A4" s="11" t="s">
        <v>2</v>
      </c>
      <c r="B4" s="2"/>
      <c r="C4" s="25"/>
      <c r="D4" s="25"/>
    </row>
    <row r="5" spans="1:8">
      <c r="A5" s="11" t="s">
        <v>3</v>
      </c>
      <c r="B5" s="2"/>
      <c r="C5" s="26"/>
      <c r="D5" s="26"/>
    </row>
    <row r="6" spans="1:8" ht="26.25" customHeight="1">
      <c r="A6" s="28" t="s">
        <v>92</v>
      </c>
      <c r="B6" s="2"/>
    </row>
    <row r="7" spans="1:8" ht="24" customHeight="1">
      <c r="A7" s="168" t="s">
        <v>4</v>
      </c>
      <c r="B7" s="168" t="s">
        <v>69</v>
      </c>
      <c r="C7" s="168" t="s">
        <v>67</v>
      </c>
      <c r="D7" s="168" t="s">
        <v>36</v>
      </c>
      <c r="E7" s="168" t="s">
        <v>3</v>
      </c>
      <c r="F7" s="168"/>
      <c r="G7" s="168"/>
      <c r="H7" s="168"/>
    </row>
    <row r="8" spans="1:8">
      <c r="A8" s="168"/>
      <c r="B8" s="168"/>
      <c r="C8" s="168"/>
      <c r="D8" s="168"/>
      <c r="E8" s="40" t="s">
        <v>22</v>
      </c>
      <c r="F8" s="40" t="s">
        <v>70</v>
      </c>
      <c r="G8" s="40" t="s">
        <v>6</v>
      </c>
      <c r="H8" s="40" t="s">
        <v>7</v>
      </c>
    </row>
    <row r="9" spans="1:8">
      <c r="A9" s="6">
        <v>1</v>
      </c>
      <c r="B9" s="34"/>
      <c r="C9" s="50"/>
      <c r="D9" s="50"/>
      <c r="E9" s="5"/>
      <c r="F9" s="5"/>
      <c r="G9" s="5"/>
      <c r="H9" s="20">
        <f>E9*F9*G9</f>
        <v>0</v>
      </c>
    </row>
    <row r="10" spans="1:8">
      <c r="A10" s="6"/>
      <c r="B10" s="34"/>
      <c r="C10" s="50"/>
      <c r="D10" s="50"/>
      <c r="E10" s="5"/>
      <c r="F10" s="5"/>
      <c r="G10" s="5"/>
      <c r="H10" s="5"/>
    </row>
  </sheetData>
  <mergeCells count="6">
    <mergeCell ref="A1:D1"/>
    <mergeCell ref="A7:A8"/>
    <mergeCell ref="B7:B8"/>
    <mergeCell ref="E7:H7"/>
    <mergeCell ref="C7:C8"/>
    <mergeCell ref="D7:D8"/>
  </mergeCells>
  <pageMargins left="0.7" right="0.7" top="0.75" bottom="0.75" header="0.3" footer="0.3"/>
  <pageSetup scale="89" fitToHeight="0" orientation="landscape" horizontalDpi="0" verticalDpi="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3"/>
  <sheetViews>
    <sheetView zoomScale="90" zoomScaleNormal="90" workbookViewId="0">
      <selection activeCell="C14" sqref="C14"/>
    </sheetView>
  </sheetViews>
  <sheetFormatPr defaultColWidth="9.109375" defaultRowHeight="24.6"/>
  <cols>
    <col min="1" max="1" width="6.109375" style="1" customWidth="1"/>
    <col min="2" max="2" width="49.88671875" style="1" customWidth="1"/>
    <col min="3" max="3" width="12.6640625" style="1" customWidth="1"/>
    <col min="4" max="6" width="9.109375" style="1"/>
    <col min="7" max="7" width="20.88671875" style="1" customWidth="1"/>
    <col min="8" max="8" width="14.109375" style="31" customWidth="1"/>
    <col min="9" max="9" width="9.21875" style="31" bestFit="1" customWidth="1"/>
    <col min="10" max="10" width="10.109375" style="31" bestFit="1" customWidth="1"/>
    <col min="11" max="11" width="13.44140625" style="31" customWidth="1"/>
    <col min="12" max="16384" width="9.109375" style="1"/>
  </cols>
  <sheetData>
    <row r="1" spans="1:11">
      <c r="A1" s="178" t="s">
        <v>91</v>
      </c>
      <c r="B1" s="178"/>
      <c r="C1" s="178"/>
      <c r="D1" s="178"/>
      <c r="E1" s="178"/>
      <c r="F1" s="178"/>
    </row>
    <row r="2" spans="1:11">
      <c r="A2" s="2" t="s">
        <v>0</v>
      </c>
      <c r="B2" s="2"/>
    </row>
    <row r="3" spans="1:11">
      <c r="A3" s="11" t="s">
        <v>1</v>
      </c>
      <c r="B3" s="2"/>
    </row>
    <row r="4" spans="1:11">
      <c r="A4" s="11" t="s">
        <v>3</v>
      </c>
      <c r="B4" s="2"/>
    </row>
    <row r="5" spans="1:11">
      <c r="A5" s="2" t="s">
        <v>14</v>
      </c>
      <c r="B5" s="2"/>
      <c r="G5" s="25"/>
      <c r="H5" s="37"/>
      <c r="I5" s="37"/>
      <c r="J5" s="37"/>
      <c r="K5" s="37"/>
    </row>
    <row r="6" spans="1:11">
      <c r="A6" s="28" t="s">
        <v>71</v>
      </c>
      <c r="B6" s="2"/>
      <c r="G6" s="5" t="s">
        <v>89</v>
      </c>
      <c r="H6" s="38" t="s">
        <v>34</v>
      </c>
      <c r="I6" s="38" t="s">
        <v>22</v>
      </c>
      <c r="J6" s="38" t="s">
        <v>6</v>
      </c>
      <c r="K6" s="38" t="s">
        <v>7</v>
      </c>
    </row>
    <row r="7" spans="1:11">
      <c r="A7" s="39" t="s">
        <v>4</v>
      </c>
      <c r="B7" s="51" t="s">
        <v>72</v>
      </c>
      <c r="C7" s="39" t="s">
        <v>7</v>
      </c>
      <c r="G7" s="5" t="s">
        <v>85</v>
      </c>
      <c r="H7" s="12"/>
      <c r="I7" s="12"/>
      <c r="J7" s="35">
        <v>1500</v>
      </c>
      <c r="K7" s="12">
        <f>H7*I7*J7</f>
        <v>0</v>
      </c>
    </row>
    <row r="8" spans="1:11">
      <c r="A8" s="27">
        <v>1</v>
      </c>
      <c r="B8" s="52"/>
      <c r="C8" s="32">
        <f>K9</f>
        <v>0</v>
      </c>
      <c r="G8" s="5" t="s">
        <v>86</v>
      </c>
      <c r="H8" s="12"/>
      <c r="I8" s="12"/>
      <c r="J8" s="35">
        <v>1200</v>
      </c>
      <c r="K8" s="12">
        <f>H8*I8*J8</f>
        <v>0</v>
      </c>
    </row>
    <row r="9" spans="1:11">
      <c r="A9" s="5">
        <v>2</v>
      </c>
      <c r="B9" s="5"/>
      <c r="C9" s="5"/>
      <c r="G9" s="36" t="s">
        <v>9</v>
      </c>
      <c r="H9" s="12"/>
      <c r="I9" s="12"/>
      <c r="J9" s="35"/>
      <c r="K9" s="12"/>
    </row>
    <row r="10" spans="1:11">
      <c r="A10" s="6"/>
      <c r="B10" s="49" t="s">
        <v>9</v>
      </c>
      <c r="C10" s="6"/>
      <c r="G10" s="5" t="s">
        <v>90</v>
      </c>
      <c r="H10" s="12"/>
      <c r="I10" s="12"/>
      <c r="J10" s="35"/>
      <c r="K10" s="12"/>
    </row>
    <row r="11" spans="1:11">
      <c r="G11" s="5" t="s">
        <v>87</v>
      </c>
      <c r="H11" s="12"/>
      <c r="I11" s="12"/>
      <c r="J11" s="35">
        <v>350</v>
      </c>
      <c r="K11" s="12">
        <f>H11*I11*J11</f>
        <v>0</v>
      </c>
    </row>
    <row r="12" spans="1:11">
      <c r="G12" s="5" t="s">
        <v>88</v>
      </c>
      <c r="H12" s="12"/>
      <c r="I12" s="12"/>
      <c r="J12" s="35">
        <v>300</v>
      </c>
      <c r="K12" s="12">
        <f>H12*I12*J12</f>
        <v>0</v>
      </c>
    </row>
    <row r="13" spans="1:11">
      <c r="G13" s="36" t="s">
        <v>9</v>
      </c>
      <c r="H13" s="12"/>
      <c r="I13" s="12"/>
      <c r="J13" s="12"/>
      <c r="K13" s="12"/>
    </row>
  </sheetData>
  <mergeCells count="1">
    <mergeCell ref="A1:F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F13"/>
  <sheetViews>
    <sheetView zoomScale="90" zoomScaleNormal="90" workbookViewId="0">
      <selection activeCell="I9" sqref="I9"/>
    </sheetView>
  </sheetViews>
  <sheetFormatPr defaultColWidth="9.109375" defaultRowHeight="24.6"/>
  <cols>
    <col min="1" max="1" width="6.109375" style="1" customWidth="1"/>
    <col min="2" max="2" width="41.109375" style="1" customWidth="1"/>
    <col min="3" max="3" width="22.88671875" style="1" customWidth="1"/>
    <col min="4" max="4" width="19" style="1" customWidth="1"/>
    <col min="5" max="5" width="19" style="1" hidden="1" customWidth="1"/>
    <col min="6" max="6" width="12.6640625" style="1" customWidth="1"/>
    <col min="7" max="16384" width="9.109375" style="1"/>
  </cols>
  <sheetData>
    <row r="1" spans="1:6">
      <c r="A1" s="178" t="s">
        <v>91</v>
      </c>
      <c r="B1" s="178"/>
      <c r="C1" s="178"/>
      <c r="D1" s="178"/>
      <c r="E1" s="178"/>
    </row>
    <row r="2" spans="1:6">
      <c r="A2" s="2" t="s">
        <v>0</v>
      </c>
      <c r="B2" s="2"/>
      <c r="C2" s="2"/>
      <c r="D2" s="2"/>
      <c r="E2" s="2"/>
    </row>
    <row r="3" spans="1:6">
      <c r="A3" s="3" t="s">
        <v>1</v>
      </c>
      <c r="B3" s="2"/>
      <c r="C3" s="2"/>
      <c r="D3" s="2"/>
      <c r="E3" s="2"/>
    </row>
    <row r="4" spans="1:6">
      <c r="A4" s="3" t="s">
        <v>2</v>
      </c>
      <c r="B4" s="2"/>
      <c r="C4" s="2"/>
      <c r="D4" s="2"/>
      <c r="E4" s="2"/>
    </row>
    <row r="5" spans="1:6">
      <c r="A5" s="3" t="s">
        <v>3</v>
      </c>
      <c r="B5" s="2"/>
      <c r="C5" s="2"/>
      <c r="D5" s="2"/>
      <c r="E5" s="2"/>
    </row>
    <row r="6" spans="1:6">
      <c r="A6" s="2" t="s">
        <v>14</v>
      </c>
      <c r="B6" s="2"/>
    </row>
    <row r="7" spans="1:6">
      <c r="A7" s="28" t="s">
        <v>93</v>
      </c>
      <c r="B7" s="2"/>
    </row>
    <row r="8" spans="1:6">
      <c r="A8" s="39" t="s">
        <v>4</v>
      </c>
      <c r="B8" s="39" t="s">
        <v>5</v>
      </c>
      <c r="C8" s="39" t="s">
        <v>73</v>
      </c>
      <c r="D8" s="39" t="s">
        <v>68</v>
      </c>
      <c r="E8" s="39" t="s">
        <v>39</v>
      </c>
      <c r="F8" s="39" t="s">
        <v>7</v>
      </c>
    </row>
    <row r="9" spans="1:6">
      <c r="A9" s="5">
        <v>1</v>
      </c>
      <c r="B9" s="5"/>
      <c r="C9" s="5"/>
      <c r="D9" s="20"/>
      <c r="E9" s="20"/>
      <c r="F9" s="20">
        <f>D9*12</f>
        <v>0</v>
      </c>
    </row>
    <row r="10" spans="1:6">
      <c r="A10" s="5"/>
      <c r="B10" s="5"/>
      <c r="C10" s="5"/>
      <c r="D10" s="20"/>
      <c r="E10" s="20"/>
      <c r="F10" s="20">
        <f t="shared" ref="F10:F12" si="0">D10*12</f>
        <v>0</v>
      </c>
    </row>
    <row r="11" spans="1:6">
      <c r="A11" s="5"/>
      <c r="B11" s="5"/>
      <c r="C11" s="5"/>
      <c r="D11" s="20"/>
      <c r="E11" s="20"/>
      <c r="F11" s="20">
        <f t="shared" si="0"/>
        <v>0</v>
      </c>
    </row>
    <row r="12" spans="1:6">
      <c r="A12" s="5">
        <v>2</v>
      </c>
      <c r="B12" s="5"/>
      <c r="C12" s="5"/>
      <c r="D12" s="20"/>
      <c r="E12" s="20"/>
      <c r="F12" s="20">
        <f t="shared" si="0"/>
        <v>0</v>
      </c>
    </row>
    <row r="13" spans="1:6">
      <c r="A13" s="6"/>
      <c r="B13" s="49" t="s">
        <v>9</v>
      </c>
      <c r="C13" s="6"/>
      <c r="D13" s="6"/>
      <c r="E13" s="6"/>
      <c r="F13" s="53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F13"/>
  <sheetViews>
    <sheetView zoomScale="70" zoomScaleNormal="7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46.21875" style="1" customWidth="1"/>
    <col min="3" max="3" width="17.6640625" style="1" customWidth="1"/>
    <col min="4" max="4" width="17.44140625" style="1" customWidth="1"/>
    <col min="5" max="5" width="22.6640625" style="1" customWidth="1"/>
    <col min="6" max="6" width="17.109375" style="1" customWidth="1"/>
    <col min="7" max="16384" width="9.109375" style="1"/>
  </cols>
  <sheetData>
    <row r="1" spans="1:6">
      <c r="A1" s="162" t="s">
        <v>91</v>
      </c>
      <c r="B1" s="162"/>
      <c r="C1" s="162"/>
      <c r="D1" s="162"/>
      <c r="E1" s="162"/>
    </row>
    <row r="2" spans="1:6" s="60" customFormat="1">
      <c r="A2" s="61" t="s">
        <v>0</v>
      </c>
      <c r="B2" s="61"/>
      <c r="C2" s="61"/>
      <c r="D2" s="61"/>
      <c r="E2" s="61"/>
      <c r="F2" s="61"/>
    </row>
    <row r="3" spans="1:6" s="60" customFormat="1">
      <c r="A3" s="61" t="s">
        <v>98</v>
      </c>
      <c r="B3" s="61"/>
      <c r="C3" s="61"/>
      <c r="D3" s="61"/>
      <c r="E3" s="61"/>
      <c r="F3" s="61"/>
    </row>
    <row r="4" spans="1:6" s="60" customFormat="1">
      <c r="A4" s="61" t="s">
        <v>99</v>
      </c>
      <c r="B4" s="61"/>
      <c r="C4" s="61"/>
      <c r="D4" s="61"/>
      <c r="E4" s="61"/>
      <c r="F4" s="61"/>
    </row>
    <row r="5" spans="1:6" s="60" customFormat="1">
      <c r="A5" s="61" t="s">
        <v>100</v>
      </c>
      <c r="B5" s="61"/>
      <c r="C5" s="61"/>
      <c r="D5" s="61"/>
      <c r="E5" s="61"/>
      <c r="F5" s="61"/>
    </row>
    <row r="6" spans="1:6" s="60" customFormat="1">
      <c r="A6" s="163" t="s">
        <v>1</v>
      </c>
      <c r="B6" s="163"/>
      <c r="C6" s="61"/>
      <c r="D6" s="61"/>
      <c r="E6" s="61"/>
      <c r="F6" s="61"/>
    </row>
    <row r="7" spans="1:6">
      <c r="A7" s="59" t="s">
        <v>2</v>
      </c>
      <c r="B7" s="2"/>
      <c r="C7" s="2"/>
      <c r="D7" s="2"/>
      <c r="E7" s="2"/>
    </row>
    <row r="8" spans="1:6">
      <c r="A8" s="59" t="s">
        <v>12</v>
      </c>
      <c r="B8" s="2"/>
      <c r="C8" s="2"/>
      <c r="D8" s="2"/>
      <c r="E8" s="2"/>
    </row>
    <row r="9" spans="1:6">
      <c r="A9" s="28" t="s">
        <v>24</v>
      </c>
      <c r="B9" s="2"/>
    </row>
    <row r="10" spans="1:6" ht="24" customHeight="1">
      <c r="A10" s="54" t="s">
        <v>4</v>
      </c>
      <c r="B10" s="54" t="s">
        <v>62</v>
      </c>
      <c r="C10" s="55" t="s">
        <v>25</v>
      </c>
      <c r="D10" s="55" t="s">
        <v>26</v>
      </c>
      <c r="E10" s="55" t="s">
        <v>27</v>
      </c>
      <c r="F10" s="55" t="s">
        <v>8</v>
      </c>
    </row>
    <row r="11" spans="1:6">
      <c r="A11" s="55"/>
      <c r="B11" s="57"/>
      <c r="C11" s="33"/>
      <c r="D11" s="33"/>
      <c r="E11" s="33"/>
      <c r="F11" s="33">
        <f>C11*D11*E11</f>
        <v>0</v>
      </c>
    </row>
    <row r="12" spans="1:6">
      <c r="A12" s="5"/>
      <c r="B12" s="5"/>
      <c r="C12" s="5"/>
      <c r="D12" s="5"/>
      <c r="E12" s="5"/>
      <c r="F12" s="5"/>
    </row>
    <row r="13" spans="1:6">
      <c r="A13" s="5"/>
      <c r="B13" s="80" t="s">
        <v>9</v>
      </c>
      <c r="C13" s="5"/>
      <c r="D13" s="5"/>
      <c r="E13" s="5"/>
      <c r="F13" s="5"/>
    </row>
  </sheetData>
  <mergeCells count="2">
    <mergeCell ref="A1:E1"/>
    <mergeCell ref="A6:B6"/>
  </mergeCells>
  <pageMargins left="0.7" right="0.7" top="0.75" bottom="0.75" header="0.3" footer="0.3"/>
  <pageSetup scale="96" fitToHeight="0" orientation="landscape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C13"/>
  <sheetViews>
    <sheetView zoomScale="70" zoomScaleNormal="7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59.77734375" style="1" customWidth="1"/>
    <col min="3" max="3" width="17.109375" style="1" customWidth="1"/>
    <col min="4" max="16384" width="9.109375" style="1"/>
  </cols>
  <sheetData>
    <row r="1" spans="1:3">
      <c r="A1" s="162" t="s">
        <v>91</v>
      </c>
      <c r="B1" s="162"/>
      <c r="C1" s="162"/>
    </row>
    <row r="2" spans="1:3" s="60" customFormat="1">
      <c r="A2" s="61" t="s">
        <v>0</v>
      </c>
      <c r="B2" s="61"/>
      <c r="C2" s="61"/>
    </row>
    <row r="3" spans="1:3" s="60" customFormat="1">
      <c r="A3" s="61" t="s">
        <v>98</v>
      </c>
      <c r="B3" s="61"/>
      <c r="C3" s="61"/>
    </row>
    <row r="4" spans="1:3" s="60" customFormat="1">
      <c r="A4" s="61" t="s">
        <v>99</v>
      </c>
      <c r="B4" s="61"/>
      <c r="C4" s="61"/>
    </row>
    <row r="5" spans="1:3" s="60" customFormat="1">
      <c r="A5" s="61" t="s">
        <v>100</v>
      </c>
      <c r="B5" s="61"/>
      <c r="C5" s="61"/>
    </row>
    <row r="6" spans="1:3" s="60" customFormat="1">
      <c r="A6" s="163" t="s">
        <v>1</v>
      </c>
      <c r="B6" s="163"/>
      <c r="C6" s="61"/>
    </row>
    <row r="7" spans="1:3">
      <c r="A7" s="59" t="s">
        <v>2</v>
      </c>
      <c r="B7" s="2"/>
    </row>
    <row r="8" spans="1:3">
      <c r="A8" s="59" t="s">
        <v>12</v>
      </c>
      <c r="B8" s="2"/>
    </row>
    <row r="9" spans="1:3">
      <c r="A9" s="28" t="s">
        <v>114</v>
      </c>
      <c r="B9" s="2"/>
    </row>
    <row r="10" spans="1:3" ht="24" customHeight="1">
      <c r="A10" s="54" t="s">
        <v>4</v>
      </c>
      <c r="B10" s="54" t="s">
        <v>115</v>
      </c>
      <c r="C10" s="55" t="s">
        <v>116</v>
      </c>
    </row>
    <row r="11" spans="1:3">
      <c r="A11" s="55"/>
      <c r="B11" s="57"/>
      <c r="C11" s="33"/>
    </row>
    <row r="12" spans="1:3">
      <c r="A12" s="5"/>
      <c r="B12" s="5"/>
      <c r="C12" s="5"/>
    </row>
    <row r="13" spans="1:3">
      <c r="A13" s="5"/>
      <c r="B13" s="80" t="s">
        <v>9</v>
      </c>
      <c r="C13" s="5"/>
    </row>
  </sheetData>
  <mergeCells count="2">
    <mergeCell ref="A1:C1"/>
    <mergeCell ref="A6:B6"/>
  </mergeCells>
  <pageMargins left="0.7" right="0.7" top="0.75" bottom="0.75" header="0.3" footer="0.3"/>
  <pageSetup scale="96" fitToHeight="0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3"/>
  <sheetViews>
    <sheetView zoomScale="70" zoomScaleNormal="7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59.77734375" style="1" customWidth="1"/>
    <col min="3" max="3" width="14.77734375" style="1" customWidth="1"/>
    <col min="4" max="4" width="12.6640625" style="1" customWidth="1"/>
    <col min="5" max="5" width="13.5546875" style="1" customWidth="1"/>
    <col min="6" max="16384" width="9.109375" style="1"/>
  </cols>
  <sheetData>
    <row r="1" spans="1:5">
      <c r="A1" s="162" t="s">
        <v>91</v>
      </c>
      <c r="B1" s="162"/>
      <c r="C1" s="162"/>
    </row>
    <row r="2" spans="1:5" s="60" customFormat="1">
      <c r="A2" s="61" t="s">
        <v>0</v>
      </c>
      <c r="B2" s="61"/>
      <c r="C2" s="61"/>
    </row>
    <row r="3" spans="1:5" s="60" customFormat="1">
      <c r="A3" s="61" t="s">
        <v>98</v>
      </c>
      <c r="B3" s="61"/>
      <c r="C3" s="61"/>
    </row>
    <row r="4" spans="1:5" s="60" customFormat="1">
      <c r="A4" s="61" t="s">
        <v>99</v>
      </c>
      <c r="B4" s="61"/>
      <c r="C4" s="61"/>
    </row>
    <row r="5" spans="1:5" s="60" customFormat="1">
      <c r="A5" s="61" t="s">
        <v>100</v>
      </c>
      <c r="B5" s="61"/>
      <c r="C5" s="61"/>
    </row>
    <row r="6" spans="1:5" s="60" customFormat="1">
      <c r="A6" s="163" t="s">
        <v>1</v>
      </c>
      <c r="B6" s="163"/>
      <c r="C6" s="61"/>
    </row>
    <row r="7" spans="1:5">
      <c r="A7" s="3" t="s">
        <v>2</v>
      </c>
      <c r="B7" s="2"/>
    </row>
    <row r="8" spans="1:5">
      <c r="A8" s="3" t="s">
        <v>12</v>
      </c>
      <c r="B8" s="2"/>
    </row>
    <row r="9" spans="1:5">
      <c r="A9" s="28" t="s">
        <v>119</v>
      </c>
      <c r="B9" s="2"/>
    </row>
    <row r="10" spans="1:5" ht="24" customHeight="1">
      <c r="A10" s="54" t="s">
        <v>4</v>
      </c>
      <c r="B10" s="54" t="s">
        <v>117</v>
      </c>
      <c r="C10" s="169" t="s">
        <v>118</v>
      </c>
      <c r="D10" s="169"/>
      <c r="E10" s="168" t="s">
        <v>40</v>
      </c>
    </row>
    <row r="11" spans="1:5">
      <c r="A11" s="55"/>
      <c r="B11" s="57"/>
      <c r="C11" s="33" t="s">
        <v>38</v>
      </c>
      <c r="D11" s="55" t="s">
        <v>39</v>
      </c>
      <c r="E11" s="168"/>
    </row>
    <row r="12" spans="1:5">
      <c r="A12" s="5"/>
      <c r="B12" s="5"/>
      <c r="C12" s="5"/>
      <c r="D12" s="5"/>
      <c r="E12" s="5"/>
    </row>
    <row r="13" spans="1:5">
      <c r="A13" s="5"/>
      <c r="B13" s="80" t="s">
        <v>9</v>
      </c>
      <c r="C13" s="5"/>
      <c r="D13" s="5"/>
      <c r="E13" s="5"/>
    </row>
  </sheetData>
  <mergeCells count="4">
    <mergeCell ref="A6:B6"/>
    <mergeCell ref="A1:C1"/>
    <mergeCell ref="C10:D10"/>
    <mergeCell ref="E10:E11"/>
  </mergeCells>
  <pageMargins left="0.7" right="0.7" top="0.75" bottom="0.75" header="0.3" footer="0.3"/>
  <pageSetup scale="96" fitToHeight="0" orientation="landscape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70" zoomScaleNormal="7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6" width="16" style="1" customWidth="1"/>
    <col min="7" max="7" width="17.44140625" style="1" customWidth="1"/>
    <col min="8" max="16384" width="9.109375" style="1"/>
  </cols>
  <sheetData>
    <row r="1" spans="1:7">
      <c r="A1" s="162" t="s">
        <v>91</v>
      </c>
      <c r="B1" s="162"/>
      <c r="C1" s="162"/>
      <c r="D1" s="162"/>
    </row>
    <row r="2" spans="1:7" s="60" customFormat="1">
      <c r="A2" s="61" t="s">
        <v>0</v>
      </c>
      <c r="B2" s="61"/>
      <c r="C2" s="61"/>
    </row>
    <row r="3" spans="1:7" s="60" customFormat="1">
      <c r="A3" s="61" t="s">
        <v>98</v>
      </c>
      <c r="B3" s="61"/>
      <c r="C3" s="61"/>
    </row>
    <row r="4" spans="1:7" s="60" customFormat="1">
      <c r="A4" s="61" t="s">
        <v>99</v>
      </c>
      <c r="B4" s="61"/>
      <c r="C4" s="61"/>
    </row>
    <row r="5" spans="1:7" s="60" customFormat="1">
      <c r="A5" s="61" t="s">
        <v>100</v>
      </c>
      <c r="B5" s="61"/>
      <c r="C5" s="61"/>
    </row>
    <row r="6" spans="1:7" s="60" customFormat="1">
      <c r="A6" s="163" t="s">
        <v>1</v>
      </c>
      <c r="B6" s="163"/>
      <c r="C6" s="61"/>
    </row>
    <row r="7" spans="1:7">
      <c r="A7" s="3" t="s">
        <v>2</v>
      </c>
      <c r="B7" s="2"/>
      <c r="C7" s="2"/>
      <c r="D7" s="2"/>
    </row>
    <row r="8" spans="1:7">
      <c r="A8" s="3" t="s">
        <v>12</v>
      </c>
      <c r="B8" s="2"/>
      <c r="C8" s="2"/>
      <c r="D8" s="2"/>
    </row>
    <row r="9" spans="1:7">
      <c r="A9" s="28" t="s">
        <v>120</v>
      </c>
      <c r="B9" s="2"/>
      <c r="C9" s="2"/>
    </row>
    <row r="10" spans="1:7">
      <c r="A10" s="54" t="s">
        <v>4</v>
      </c>
      <c r="B10" s="54" t="s">
        <v>13</v>
      </c>
      <c r="C10" s="55" t="s">
        <v>122</v>
      </c>
      <c r="D10" s="55" t="s">
        <v>123</v>
      </c>
      <c r="E10" s="55" t="s">
        <v>124</v>
      </c>
      <c r="F10" s="55" t="s">
        <v>125</v>
      </c>
      <c r="G10" s="55" t="s">
        <v>40</v>
      </c>
    </row>
    <row r="11" spans="1:7">
      <c r="A11" s="55"/>
      <c r="B11" s="58" t="s">
        <v>121</v>
      </c>
      <c r="C11" s="55"/>
      <c r="D11" s="5"/>
      <c r="E11" s="5"/>
      <c r="F11" s="5"/>
      <c r="G11" s="5"/>
    </row>
    <row r="12" spans="1:7">
      <c r="A12" s="5"/>
      <c r="B12" s="58" t="s">
        <v>126</v>
      </c>
      <c r="C12" s="5"/>
      <c r="D12" s="5"/>
      <c r="E12" s="5"/>
      <c r="F12" s="5"/>
      <c r="G12" s="5"/>
    </row>
    <row r="13" spans="1:7">
      <c r="A13" s="5"/>
      <c r="B13" s="80" t="s">
        <v>9</v>
      </c>
      <c r="C13" s="5"/>
      <c r="D13" s="5"/>
      <c r="E13" s="5"/>
      <c r="F13" s="5"/>
      <c r="G13" s="5"/>
    </row>
  </sheetData>
  <mergeCells count="2">
    <mergeCell ref="A1:D1"/>
    <mergeCell ref="A6:B6"/>
  </mergeCells>
  <pageMargins left="0.7" right="0.7" top="0.75" bottom="0.75" header="0.3" footer="0.3"/>
  <pageSetup fitToWidth="0" orientation="landscape" horizontalDpi="0" verticalDpi="0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D11"/>
  <sheetViews>
    <sheetView zoomScale="70" zoomScaleNormal="7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61" style="1" customWidth="1"/>
    <col min="3" max="3" width="19.44140625" style="1" customWidth="1"/>
    <col min="4" max="5" width="19" style="1" customWidth="1"/>
    <col min="6" max="16384" width="9.109375" style="1"/>
  </cols>
  <sheetData>
    <row r="1" spans="1:4">
      <c r="A1" s="162" t="s">
        <v>91</v>
      </c>
      <c r="B1" s="162"/>
      <c r="C1" s="162"/>
      <c r="D1" s="162"/>
    </row>
    <row r="2" spans="1:4" s="60" customFormat="1">
      <c r="A2" s="61" t="s">
        <v>0</v>
      </c>
      <c r="B2" s="61"/>
      <c r="C2" s="61"/>
      <c r="D2" s="61"/>
    </row>
    <row r="3" spans="1:4" s="60" customFormat="1">
      <c r="A3" s="61" t="s">
        <v>98</v>
      </c>
      <c r="B3" s="61"/>
      <c r="C3" s="61"/>
      <c r="D3" s="61"/>
    </row>
    <row r="4" spans="1:4" s="60" customFormat="1">
      <c r="A4" s="61" t="s">
        <v>99</v>
      </c>
      <c r="B4" s="61"/>
      <c r="C4" s="61"/>
      <c r="D4" s="61"/>
    </row>
    <row r="5" spans="1:4" s="60" customFormat="1">
      <c r="A5" s="61" t="s">
        <v>100</v>
      </c>
      <c r="B5" s="61"/>
      <c r="C5" s="61"/>
      <c r="D5" s="61"/>
    </row>
    <row r="6" spans="1:4" s="60" customFormat="1">
      <c r="A6" s="62" t="s">
        <v>1</v>
      </c>
      <c r="B6" s="61"/>
      <c r="C6" s="61"/>
      <c r="D6" s="61"/>
    </row>
    <row r="7" spans="1:4" s="60" customFormat="1">
      <c r="A7" s="62" t="s">
        <v>2</v>
      </c>
      <c r="B7" s="61"/>
      <c r="C7" s="61"/>
      <c r="D7" s="61"/>
    </row>
    <row r="8" spans="1:4" s="60" customFormat="1">
      <c r="A8" s="62" t="s">
        <v>12</v>
      </c>
      <c r="B8" s="61"/>
      <c r="C8" s="61"/>
      <c r="D8" s="61"/>
    </row>
    <row r="9" spans="1:4" s="60" customFormat="1">
      <c r="A9" s="63" t="s">
        <v>127</v>
      </c>
      <c r="B9" s="61"/>
      <c r="C9" s="61"/>
    </row>
    <row r="10" spans="1:4" s="60" customFormat="1">
      <c r="A10" s="68" t="s">
        <v>4</v>
      </c>
      <c r="B10" s="68" t="s">
        <v>13</v>
      </c>
      <c r="C10" s="64" t="s">
        <v>7</v>
      </c>
      <c r="D10" s="68" t="s">
        <v>40</v>
      </c>
    </row>
    <row r="11" spans="1:4" s="60" customFormat="1">
      <c r="A11" s="64"/>
      <c r="B11" s="81" t="s">
        <v>128</v>
      </c>
      <c r="C11" s="64"/>
      <c r="D11" s="64"/>
    </row>
  </sheetData>
  <mergeCells count="1">
    <mergeCell ref="A1:D1"/>
  </mergeCells>
  <pageMargins left="0.7" right="0.7" top="0.75" bottom="0.75" header="0.3" footer="0.3"/>
  <pageSetup fitToWidth="0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K19"/>
  <sheetViews>
    <sheetView zoomScale="70" zoomScaleNormal="70" workbookViewId="0">
      <selection activeCell="A9" sqref="A9"/>
    </sheetView>
  </sheetViews>
  <sheetFormatPr defaultRowHeight="14.4"/>
  <cols>
    <col min="2" max="2" width="30.5546875" customWidth="1"/>
    <col min="3" max="3" width="16.5546875" customWidth="1"/>
    <col min="4" max="4" width="17.6640625" customWidth="1"/>
    <col min="5" max="5" width="19.21875" customWidth="1"/>
    <col min="6" max="6" width="16.21875" customWidth="1"/>
    <col min="7" max="7" width="16.6640625" customWidth="1"/>
    <col min="8" max="8" width="21.109375" customWidth="1"/>
    <col min="9" max="9" width="16" style="151" customWidth="1"/>
    <col min="10" max="10" width="17" customWidth="1"/>
    <col min="11" max="11" width="15.77734375" customWidth="1"/>
  </cols>
  <sheetData>
    <row r="1" spans="1:11" s="1" customFormat="1" ht="24.6">
      <c r="A1" s="179" t="s">
        <v>91</v>
      </c>
      <c r="B1" s="179"/>
      <c r="C1" s="179"/>
      <c r="D1" s="179"/>
      <c r="E1" s="179"/>
      <c r="I1" s="125"/>
    </row>
    <row r="2" spans="1:11" s="60" customFormat="1" ht="24.6">
      <c r="A2" s="61" t="s">
        <v>0</v>
      </c>
      <c r="B2" s="61"/>
      <c r="C2" s="61"/>
      <c r="D2" s="61"/>
      <c r="I2" s="126"/>
    </row>
    <row r="3" spans="1:11" s="60" customFormat="1" ht="24.6">
      <c r="A3" s="61" t="s">
        <v>98</v>
      </c>
      <c r="B3" s="61"/>
      <c r="C3" s="61"/>
      <c r="D3" s="61"/>
      <c r="I3" s="126"/>
    </row>
    <row r="4" spans="1:11" s="60" customFormat="1" ht="24.6">
      <c r="A4" s="61" t="s">
        <v>99</v>
      </c>
      <c r="B4" s="61"/>
      <c r="C4" s="61"/>
      <c r="D4" s="61"/>
      <c r="I4" s="126"/>
    </row>
    <row r="5" spans="1:11" s="60" customFormat="1" ht="24.6">
      <c r="A5" s="61" t="s">
        <v>100</v>
      </c>
      <c r="B5" s="61"/>
      <c r="C5" s="61"/>
      <c r="D5" s="61"/>
      <c r="I5" s="126"/>
    </row>
    <row r="6" spans="1:11" s="60" customFormat="1" ht="24.6">
      <c r="A6" s="62" t="s">
        <v>1</v>
      </c>
      <c r="B6" s="61"/>
      <c r="C6" s="61"/>
      <c r="D6" s="61"/>
      <c r="I6" s="126"/>
    </row>
    <row r="7" spans="1:11" s="1" customFormat="1" ht="24.6">
      <c r="A7" s="23" t="s">
        <v>2</v>
      </c>
      <c r="B7" s="2"/>
      <c r="C7" s="2"/>
      <c r="D7" s="2"/>
      <c r="E7" s="2"/>
      <c r="I7" s="125"/>
    </row>
    <row r="8" spans="1:11" s="1" customFormat="1" ht="24.6">
      <c r="A8" s="23" t="s">
        <v>12</v>
      </c>
      <c r="B8" s="2"/>
      <c r="C8" s="2"/>
      <c r="D8" s="2"/>
      <c r="E8" s="2"/>
      <c r="I8" s="125"/>
    </row>
    <row r="9" spans="1:11" s="1" customFormat="1" ht="24.6">
      <c r="A9" s="28" t="s">
        <v>95</v>
      </c>
      <c r="B9" s="2"/>
      <c r="C9" s="2"/>
      <c r="D9" s="2"/>
      <c r="E9" s="2"/>
      <c r="F9" s="2"/>
      <c r="G9" s="2"/>
      <c r="H9" s="2"/>
      <c r="I9" s="125"/>
    </row>
    <row r="10" spans="1:11" s="1" customFormat="1" ht="24.6">
      <c r="A10" s="168" t="s">
        <v>4</v>
      </c>
      <c r="B10" s="168" t="s">
        <v>13</v>
      </c>
      <c r="C10" s="168" t="s">
        <v>77</v>
      </c>
      <c r="D10" s="168" t="s">
        <v>78</v>
      </c>
      <c r="E10" s="169" t="s">
        <v>129</v>
      </c>
      <c r="F10" s="169" t="s">
        <v>79</v>
      </c>
      <c r="G10" s="169" t="s">
        <v>80</v>
      </c>
      <c r="H10" s="169" t="s">
        <v>7</v>
      </c>
      <c r="I10" s="169" t="s">
        <v>232</v>
      </c>
      <c r="J10" s="169"/>
      <c r="K10" s="169"/>
    </row>
    <row r="11" spans="1:11" s="1" customFormat="1" ht="73.8">
      <c r="A11" s="168"/>
      <c r="B11" s="168"/>
      <c r="C11" s="168"/>
      <c r="D11" s="168"/>
      <c r="E11" s="169"/>
      <c r="F11" s="169"/>
      <c r="G11" s="169"/>
      <c r="H11" s="169"/>
      <c r="I11" s="147" t="s">
        <v>233</v>
      </c>
      <c r="J11" s="146" t="s">
        <v>234</v>
      </c>
      <c r="K11" s="146" t="s">
        <v>235</v>
      </c>
    </row>
    <row r="12" spans="1:11" s="1" customFormat="1" ht="24.6">
      <c r="A12" s="152"/>
      <c r="B12" s="153"/>
      <c r="C12" s="153"/>
      <c r="D12" s="153"/>
      <c r="E12" s="152"/>
      <c r="F12" s="152"/>
      <c r="G12" s="152"/>
      <c r="H12" s="152"/>
      <c r="I12" s="22"/>
      <c r="J12" s="5"/>
      <c r="K12" s="5"/>
    </row>
    <row r="13" spans="1:11" s="1" customFormat="1" ht="24.6">
      <c r="A13" s="5"/>
      <c r="B13" s="5"/>
      <c r="C13" s="5"/>
      <c r="D13" s="5"/>
      <c r="E13" s="5"/>
      <c r="F13" s="5"/>
      <c r="G13" s="5"/>
      <c r="H13" s="5"/>
      <c r="I13" s="22"/>
      <c r="J13" s="5"/>
      <c r="K13" s="5"/>
    </row>
    <row r="14" spans="1:11" s="1" customFormat="1" ht="24.6">
      <c r="A14" s="5"/>
      <c r="B14" s="5"/>
      <c r="C14" s="5"/>
      <c r="D14" s="5"/>
      <c r="E14" s="5"/>
      <c r="F14" s="5"/>
      <c r="G14" s="5"/>
      <c r="H14" s="5"/>
      <c r="I14" s="22"/>
      <c r="J14" s="5"/>
      <c r="K14" s="5"/>
    </row>
    <row r="19" spans="6:6">
      <c r="F19" s="158" t="s">
        <v>341</v>
      </c>
    </row>
  </sheetData>
  <mergeCells count="10">
    <mergeCell ref="A1:E1"/>
    <mergeCell ref="I10:K10"/>
    <mergeCell ref="A10:A11"/>
    <mergeCell ref="B10:B11"/>
    <mergeCell ref="C10:C11"/>
    <mergeCell ref="D10:D11"/>
    <mergeCell ref="E10:E11"/>
    <mergeCell ref="F10:F11"/>
    <mergeCell ref="G10:G11"/>
    <mergeCell ref="H10:H11"/>
  </mergeCells>
  <pageMargins left="0.7" right="0.7" top="0.75" bottom="0.75" header="0.3" footer="0.3"/>
  <pageSetup scale="84" fitToHeight="0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1"/>
  <sheetViews>
    <sheetView zoomScale="70" zoomScaleNormal="70" workbookViewId="0">
      <selection activeCell="A9" sqref="A9"/>
    </sheetView>
  </sheetViews>
  <sheetFormatPr defaultRowHeight="14.4"/>
  <cols>
    <col min="2" max="2" width="42.88671875" customWidth="1"/>
    <col min="3" max="3" width="18.88671875" customWidth="1"/>
    <col min="4" max="4" width="17.6640625" customWidth="1"/>
    <col min="5" max="5" width="19.21875" customWidth="1"/>
    <col min="6" max="6" width="16.21875" customWidth="1"/>
    <col min="7" max="7" width="16.6640625" customWidth="1"/>
    <col min="8" max="8" width="21.109375" customWidth="1"/>
  </cols>
  <sheetData>
    <row r="1" spans="1:5" s="1" customFormat="1" ht="24.6">
      <c r="A1" s="179" t="s">
        <v>91</v>
      </c>
      <c r="B1" s="179"/>
      <c r="C1" s="179"/>
      <c r="D1" s="179"/>
      <c r="E1" s="179"/>
    </row>
    <row r="2" spans="1:5" s="60" customFormat="1" ht="24.6">
      <c r="A2" s="61" t="s">
        <v>0</v>
      </c>
      <c r="B2" s="61"/>
      <c r="C2" s="61"/>
      <c r="D2" s="61"/>
    </row>
    <row r="3" spans="1:5" s="60" customFormat="1" ht="24.6">
      <c r="A3" s="61" t="s">
        <v>98</v>
      </c>
      <c r="B3" s="61"/>
      <c r="C3" s="61"/>
      <c r="D3" s="61"/>
    </row>
    <row r="4" spans="1:5" s="60" customFormat="1" ht="24.6">
      <c r="A4" s="61" t="s">
        <v>99</v>
      </c>
      <c r="B4" s="61"/>
      <c r="C4" s="61"/>
      <c r="D4" s="61"/>
    </row>
    <row r="5" spans="1:5" s="60" customFormat="1" ht="24.6">
      <c r="A5" s="61" t="s">
        <v>100</v>
      </c>
      <c r="B5" s="61"/>
      <c r="C5" s="61"/>
      <c r="D5" s="61"/>
    </row>
    <row r="6" spans="1:5" s="60" customFormat="1" ht="24.6">
      <c r="A6" s="62" t="s">
        <v>1</v>
      </c>
      <c r="B6" s="61"/>
      <c r="C6" s="61"/>
      <c r="D6" s="61"/>
    </row>
    <row r="7" spans="1:5" s="60" customFormat="1" ht="24.6">
      <c r="A7" s="62" t="s">
        <v>2</v>
      </c>
      <c r="B7" s="61"/>
      <c r="C7" s="61"/>
      <c r="D7" s="61"/>
    </row>
    <row r="8" spans="1:5" s="60" customFormat="1" ht="24.6">
      <c r="A8" s="62" t="s">
        <v>12</v>
      </c>
      <c r="B8" s="61"/>
      <c r="C8" s="61"/>
      <c r="D8" s="61"/>
    </row>
    <row r="9" spans="1:5" s="60" customFormat="1" ht="24.6">
      <c r="A9" s="63" t="s">
        <v>130</v>
      </c>
      <c r="B9" s="61"/>
      <c r="C9" s="61"/>
    </row>
    <row r="10" spans="1:5" s="60" customFormat="1" ht="24.6">
      <c r="A10" s="68" t="s">
        <v>4</v>
      </c>
      <c r="B10" s="68" t="s">
        <v>13</v>
      </c>
      <c r="C10" s="64" t="s">
        <v>7</v>
      </c>
    </row>
    <row r="11" spans="1:5" s="60" customFormat="1" ht="24.6">
      <c r="A11" s="64"/>
      <c r="B11" s="81" t="s">
        <v>131</v>
      </c>
      <c r="C11" s="64"/>
    </row>
  </sheetData>
  <mergeCells count="1">
    <mergeCell ref="A1:E1"/>
  </mergeCells>
  <pageMargins left="0.7" right="0.7" top="0.75" bottom="0.75" header="0.3" footer="0.3"/>
  <pageSetup scale="84" fitToHeight="0" orientation="landscape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D13"/>
  <sheetViews>
    <sheetView zoomScale="70" zoomScaleNormal="70" workbookViewId="0">
      <selection activeCell="A9" sqref="A9"/>
    </sheetView>
  </sheetViews>
  <sheetFormatPr defaultColWidth="9.109375" defaultRowHeight="24.6"/>
  <cols>
    <col min="1" max="1" width="6.109375" style="1" customWidth="1"/>
    <col min="2" max="2" width="61" style="1" customWidth="1"/>
    <col min="3" max="3" width="19.44140625" style="1" customWidth="1"/>
    <col min="4" max="4" width="19" style="1" customWidth="1"/>
    <col min="5" max="16384" width="9.109375" style="1"/>
  </cols>
  <sheetData>
    <row r="1" spans="1:4">
      <c r="A1" s="162" t="s">
        <v>91</v>
      </c>
      <c r="B1" s="162"/>
      <c r="C1" s="162"/>
    </row>
    <row r="2" spans="1:4" s="60" customFormat="1">
      <c r="A2" s="61" t="s">
        <v>0</v>
      </c>
      <c r="B2" s="61"/>
      <c r="C2" s="61"/>
      <c r="D2" s="61"/>
    </row>
    <row r="3" spans="1:4" s="60" customFormat="1">
      <c r="A3" s="61" t="s">
        <v>98</v>
      </c>
      <c r="B3" s="61"/>
      <c r="C3" s="61"/>
      <c r="D3" s="61"/>
    </row>
    <row r="4" spans="1:4" s="60" customFormat="1">
      <c r="A4" s="61" t="s">
        <v>99</v>
      </c>
      <c r="B4" s="61"/>
      <c r="C4" s="61"/>
      <c r="D4" s="61"/>
    </row>
    <row r="5" spans="1:4" s="60" customFormat="1">
      <c r="A5" s="61" t="s">
        <v>100</v>
      </c>
      <c r="B5" s="61"/>
      <c r="C5" s="61"/>
      <c r="D5" s="61"/>
    </row>
    <row r="6" spans="1:4" s="60" customFormat="1">
      <c r="A6" s="62" t="s">
        <v>1</v>
      </c>
      <c r="B6" s="61"/>
      <c r="C6" s="61"/>
      <c r="D6" s="61"/>
    </row>
    <row r="7" spans="1:4">
      <c r="A7" s="59" t="s">
        <v>2</v>
      </c>
      <c r="B7" s="2"/>
      <c r="C7" s="2"/>
    </row>
    <row r="8" spans="1:4">
      <c r="A8" s="59" t="s">
        <v>12</v>
      </c>
      <c r="B8" s="2"/>
      <c r="C8" s="2"/>
    </row>
    <row r="9" spans="1:4">
      <c r="A9" s="28" t="s">
        <v>132</v>
      </c>
      <c r="B9" s="2"/>
      <c r="C9" s="2"/>
    </row>
    <row r="10" spans="1:4">
      <c r="A10" s="54" t="s">
        <v>4</v>
      </c>
      <c r="B10" s="54" t="s">
        <v>13</v>
      </c>
      <c r="C10" s="55" t="s">
        <v>7</v>
      </c>
    </row>
    <row r="11" spans="1:4">
      <c r="A11" s="55"/>
      <c r="B11" s="22"/>
      <c r="C11" s="55"/>
    </row>
    <row r="12" spans="1:4">
      <c r="A12" s="22"/>
      <c r="B12" s="22"/>
      <c r="C12" s="22"/>
    </row>
    <row r="13" spans="1:4">
      <c r="A13" s="22"/>
      <c r="B13" s="22"/>
      <c r="C13" s="22"/>
    </row>
  </sheetData>
  <mergeCells count="1">
    <mergeCell ref="A1:C1"/>
  </mergeCells>
  <pageMargins left="0.7" right="0.7" top="0.75" bottom="0.75" header="0.3" footer="0.3"/>
  <pageSetup fitToHeight="0" orientation="landscape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P20"/>
  <sheetViews>
    <sheetView zoomScale="70" zoomScaleNormal="70" workbookViewId="0">
      <selection activeCell="K21" sqref="K21"/>
    </sheetView>
  </sheetViews>
  <sheetFormatPr defaultColWidth="9.109375" defaultRowHeight="24.6"/>
  <cols>
    <col min="1" max="1" width="6.109375" style="1" customWidth="1"/>
    <col min="2" max="2" width="109.6640625" style="1" customWidth="1"/>
    <col min="3" max="10" width="9.109375" style="1"/>
    <col min="11" max="11" width="13.109375" style="1" customWidth="1"/>
    <col min="12" max="12" width="9.109375" style="1"/>
    <col min="13" max="13" width="14.109375" style="1" customWidth="1"/>
    <col min="14" max="14" width="9.109375" style="1"/>
    <col min="15" max="15" width="11.5546875" style="1" customWidth="1"/>
    <col min="16" max="16" width="28.6640625" style="1" customWidth="1"/>
    <col min="17" max="16384" width="9.109375" style="1"/>
  </cols>
  <sheetData>
    <row r="1" spans="1:16">
      <c r="A1" s="162" t="s">
        <v>91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</row>
    <row r="2" spans="1:16" s="60" customFormat="1">
      <c r="A2" s="61" t="s">
        <v>0</v>
      </c>
      <c r="B2" s="61"/>
    </row>
    <row r="3" spans="1:16" s="60" customFormat="1">
      <c r="A3" s="61" t="s">
        <v>98</v>
      </c>
      <c r="B3" s="61"/>
    </row>
    <row r="4" spans="1:16" s="60" customFormat="1">
      <c r="A4" s="61" t="s">
        <v>99</v>
      </c>
      <c r="B4" s="61"/>
    </row>
    <row r="5" spans="1:16" s="60" customFormat="1">
      <c r="A5" s="61" t="s">
        <v>100</v>
      </c>
      <c r="B5" s="61"/>
    </row>
    <row r="6" spans="1:16" s="60" customFormat="1">
      <c r="A6" s="62" t="s">
        <v>1</v>
      </c>
      <c r="B6" s="61"/>
    </row>
    <row r="7" spans="1:16">
      <c r="A7" s="59" t="s">
        <v>2</v>
      </c>
      <c r="B7" s="2"/>
    </row>
    <row r="8" spans="1:16">
      <c r="A8" s="59" t="s">
        <v>12</v>
      </c>
      <c r="B8" s="2"/>
    </row>
    <row r="9" spans="1:16">
      <c r="A9" s="28" t="s">
        <v>133</v>
      </c>
      <c r="B9" s="2"/>
    </row>
    <row r="10" spans="1:16" ht="23.7" customHeight="1">
      <c r="A10" s="180" t="s">
        <v>4</v>
      </c>
      <c r="B10" s="180" t="s">
        <v>142</v>
      </c>
      <c r="C10" s="87" t="s">
        <v>134</v>
      </c>
      <c r="D10" s="182" t="s">
        <v>143</v>
      </c>
      <c r="E10" s="183"/>
      <c r="F10" s="183"/>
      <c r="G10" s="183"/>
      <c r="H10" s="183"/>
      <c r="I10" s="182" t="s">
        <v>135</v>
      </c>
      <c r="J10" s="183"/>
      <c r="K10" s="182" t="s">
        <v>136</v>
      </c>
      <c r="L10" s="183"/>
      <c r="M10" s="90" t="s">
        <v>137</v>
      </c>
      <c r="N10" s="180" t="s">
        <v>138</v>
      </c>
      <c r="O10" s="180"/>
      <c r="P10" s="84" t="s">
        <v>145</v>
      </c>
    </row>
    <row r="11" spans="1:16" ht="49.2">
      <c r="A11" s="181"/>
      <c r="B11" s="181"/>
      <c r="C11" s="112" t="s">
        <v>33</v>
      </c>
      <c r="D11" s="113" t="s">
        <v>146</v>
      </c>
      <c r="E11" s="113" t="s">
        <v>147</v>
      </c>
      <c r="F11" s="113" t="s">
        <v>342</v>
      </c>
      <c r="G11" s="113" t="s">
        <v>144</v>
      </c>
      <c r="H11" s="113" t="s">
        <v>139</v>
      </c>
      <c r="I11" s="89" t="s">
        <v>34</v>
      </c>
      <c r="J11" s="89" t="s">
        <v>35</v>
      </c>
      <c r="K11" s="89" t="s">
        <v>343</v>
      </c>
      <c r="L11" s="89" t="s">
        <v>35</v>
      </c>
      <c r="M11" s="91" t="s">
        <v>33</v>
      </c>
      <c r="N11" s="104" t="s">
        <v>140</v>
      </c>
      <c r="O11" s="104" t="s">
        <v>141</v>
      </c>
      <c r="P11" s="104" t="s">
        <v>33</v>
      </c>
    </row>
    <row r="12" spans="1:16">
      <c r="A12" s="84"/>
      <c r="B12" s="124" t="s">
        <v>9</v>
      </c>
      <c r="C12" s="85"/>
      <c r="D12" s="84"/>
      <c r="E12" s="84"/>
      <c r="F12" s="84"/>
      <c r="G12" s="84"/>
      <c r="H12" s="84"/>
      <c r="I12" s="85"/>
      <c r="J12" s="85"/>
      <c r="K12" s="85"/>
      <c r="L12" s="85"/>
      <c r="M12" s="85"/>
      <c r="N12" s="85"/>
      <c r="O12" s="85"/>
      <c r="P12" s="85"/>
    </row>
    <row r="13" spans="1:16">
      <c r="A13" s="123">
        <v>1</v>
      </c>
      <c r="B13" s="108" t="s">
        <v>151</v>
      </c>
      <c r="C13" s="93" t="s">
        <v>33</v>
      </c>
      <c r="D13" s="92" t="s">
        <v>33</v>
      </c>
      <c r="E13" s="92" t="s">
        <v>33</v>
      </c>
      <c r="F13" s="92" t="s">
        <v>33</v>
      </c>
      <c r="G13" s="92"/>
      <c r="H13" s="93" t="s">
        <v>33</v>
      </c>
      <c r="I13" s="93" t="s">
        <v>33</v>
      </c>
      <c r="J13" s="93" t="s">
        <v>33</v>
      </c>
      <c r="K13" s="93" t="s">
        <v>33</v>
      </c>
      <c r="L13" s="96" t="s">
        <v>33</v>
      </c>
      <c r="M13" s="95"/>
      <c r="N13" s="98" t="s">
        <v>33</v>
      </c>
      <c r="O13" s="98" t="s">
        <v>33</v>
      </c>
      <c r="P13" s="92" t="s">
        <v>33</v>
      </c>
    </row>
    <row r="14" spans="1:16">
      <c r="A14" s="114"/>
      <c r="B14" s="115" t="s">
        <v>148</v>
      </c>
      <c r="C14" s="116"/>
      <c r="D14" s="117"/>
      <c r="E14" s="118"/>
      <c r="F14" s="118"/>
      <c r="G14" s="118"/>
      <c r="H14" s="118"/>
      <c r="I14" s="119"/>
      <c r="J14" s="120"/>
      <c r="K14" s="120"/>
      <c r="L14" s="120"/>
      <c r="M14" s="116"/>
      <c r="N14" s="121"/>
      <c r="O14" s="121"/>
      <c r="P14" s="122"/>
    </row>
    <row r="15" spans="1:16">
      <c r="A15" s="110"/>
      <c r="B15" s="101" t="s">
        <v>149</v>
      </c>
      <c r="C15" s="88"/>
      <c r="D15" s="94"/>
      <c r="E15" s="82"/>
      <c r="F15" s="82"/>
      <c r="G15" s="82"/>
      <c r="H15" s="82"/>
      <c r="I15" s="83"/>
      <c r="J15" s="85"/>
      <c r="K15" s="85"/>
      <c r="L15" s="85"/>
      <c r="M15" s="88"/>
      <c r="N15" s="99"/>
      <c r="O15" s="99"/>
      <c r="P15" s="100"/>
    </row>
    <row r="16" spans="1:16">
      <c r="A16" s="111"/>
      <c r="B16" s="102" t="s">
        <v>150</v>
      </c>
      <c r="C16" s="103"/>
      <c r="D16" s="104"/>
      <c r="E16" s="105"/>
      <c r="F16" s="97"/>
      <c r="G16" s="97"/>
      <c r="H16" s="97"/>
      <c r="I16" s="86"/>
      <c r="J16" s="104"/>
      <c r="K16" s="104"/>
      <c r="L16" s="104"/>
      <c r="M16" s="103"/>
      <c r="N16" s="106"/>
      <c r="O16" s="106"/>
      <c r="P16" s="107"/>
    </row>
    <row r="17" spans="1:16">
      <c r="A17" s="55">
        <v>2</v>
      </c>
      <c r="B17" s="108" t="s">
        <v>152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5"/>
      <c r="B18" s="109" t="s">
        <v>148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5"/>
      <c r="B19" s="109" t="s">
        <v>149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5"/>
      <c r="B20" s="109" t="s">
        <v>150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</sheetData>
  <mergeCells count="7">
    <mergeCell ref="A1:P1"/>
    <mergeCell ref="B10:B11"/>
    <mergeCell ref="A10:A11"/>
    <mergeCell ref="N10:O10"/>
    <mergeCell ref="D10:H10"/>
    <mergeCell ref="I10:J10"/>
    <mergeCell ref="K10:L10"/>
  </mergeCells>
  <pageMargins left="0.7" right="0.7" top="0.75" bottom="0.75" header="0.3" footer="0.3"/>
  <pageSetup fitToHeight="0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G24" sqref="G24"/>
    </sheetView>
  </sheetViews>
  <sheetFormatPr defaultColWidth="9.109375" defaultRowHeight="24.6"/>
  <cols>
    <col min="1" max="1" width="6.109375" style="1" customWidth="1"/>
    <col min="2" max="2" width="44.33203125" style="1" customWidth="1"/>
    <col min="3" max="5" width="19" style="1" customWidth="1"/>
    <col min="6" max="7" width="18" style="1" customWidth="1"/>
    <col min="8" max="16384" width="9.109375" style="1"/>
  </cols>
  <sheetData>
    <row r="1" spans="1:7">
      <c r="A1" s="162" t="s">
        <v>91</v>
      </c>
      <c r="B1" s="162"/>
      <c r="C1" s="162"/>
      <c r="D1" s="162"/>
      <c r="E1" s="162"/>
    </row>
    <row r="2" spans="1:7" s="60" customFormat="1">
      <c r="A2" s="61" t="s">
        <v>0</v>
      </c>
      <c r="B2" s="61"/>
    </row>
    <row r="3" spans="1:7" s="60" customFormat="1">
      <c r="A3" s="61" t="s">
        <v>98</v>
      </c>
      <c r="B3" s="61"/>
    </row>
    <row r="4" spans="1:7" s="60" customFormat="1">
      <c r="A4" s="61" t="s">
        <v>99</v>
      </c>
      <c r="B4" s="61"/>
    </row>
    <row r="5" spans="1:7" s="60" customFormat="1">
      <c r="A5" s="61" t="s">
        <v>100</v>
      </c>
      <c r="B5" s="61"/>
    </row>
    <row r="6" spans="1:7" s="60" customFormat="1">
      <c r="A6" s="72" t="s">
        <v>1</v>
      </c>
      <c r="B6" s="61"/>
    </row>
    <row r="7" spans="1:7">
      <c r="A7" s="3" t="s">
        <v>2</v>
      </c>
      <c r="B7" s="2"/>
      <c r="C7" s="2"/>
      <c r="D7" s="2"/>
      <c r="E7" s="2"/>
    </row>
    <row r="8" spans="1:7">
      <c r="A8" s="3" t="s">
        <v>12</v>
      </c>
      <c r="B8" s="2"/>
      <c r="C8" s="2"/>
      <c r="D8" s="2"/>
      <c r="E8" s="2"/>
    </row>
    <row r="9" spans="1:7">
      <c r="A9" s="28" t="s">
        <v>153</v>
      </c>
      <c r="B9" s="2"/>
    </row>
    <row r="10" spans="1:7" ht="24" customHeight="1">
      <c r="A10" s="75" t="s">
        <v>4</v>
      </c>
      <c r="B10" s="75" t="s">
        <v>13</v>
      </c>
      <c r="C10" s="76" t="s">
        <v>35</v>
      </c>
      <c r="D10" s="76" t="s">
        <v>154</v>
      </c>
      <c r="E10" s="76" t="s">
        <v>155</v>
      </c>
      <c r="F10" s="76" t="s">
        <v>156</v>
      </c>
      <c r="G10" s="76" t="s">
        <v>40</v>
      </c>
    </row>
    <row r="11" spans="1:7">
      <c r="A11" s="76"/>
      <c r="B11" s="76"/>
      <c r="C11" s="76"/>
      <c r="D11" s="5"/>
      <c r="E11" s="5"/>
      <c r="F11" s="5"/>
      <c r="G11" s="5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80" t="s">
        <v>9</v>
      </c>
      <c r="C13" s="5"/>
      <c r="D13" s="5"/>
      <c r="E13" s="5"/>
      <c r="F13" s="5"/>
      <c r="G13" s="5"/>
    </row>
  </sheetData>
  <mergeCells count="1">
    <mergeCell ref="A1:E1"/>
  </mergeCells>
  <pageMargins left="0.7" right="0.7" top="0.75" bottom="0.75" header="0.3" footer="0.3"/>
  <pageSetup scale="98" fitToHeight="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F11"/>
  <sheetViews>
    <sheetView zoomScale="60" zoomScaleNormal="60" workbookViewId="0">
      <selection activeCell="I41" sqref="I41"/>
    </sheetView>
  </sheetViews>
  <sheetFormatPr defaultRowHeight="14.4"/>
  <cols>
    <col min="2" max="2" width="39.109375" customWidth="1"/>
    <col min="3" max="3" width="19.21875" customWidth="1"/>
    <col min="4" max="4" width="16.21875" customWidth="1"/>
    <col min="5" max="5" width="18.21875" customWidth="1"/>
    <col min="6" max="6" width="19.44140625" customWidth="1"/>
  </cols>
  <sheetData>
    <row r="1" spans="1:6" s="60" customFormat="1" ht="24.6">
      <c r="A1" s="162" t="s">
        <v>91</v>
      </c>
      <c r="B1" s="162"/>
      <c r="C1" s="162"/>
      <c r="D1" s="162"/>
      <c r="E1" s="162"/>
    </row>
    <row r="2" spans="1:6" s="60" customFormat="1" ht="24.6">
      <c r="A2" s="61" t="s">
        <v>0</v>
      </c>
      <c r="B2" s="61"/>
      <c r="C2" s="61"/>
      <c r="D2" s="61"/>
      <c r="E2" s="61"/>
    </row>
    <row r="3" spans="1:6" s="60" customFormat="1" ht="24.6">
      <c r="A3" s="61" t="s">
        <v>98</v>
      </c>
      <c r="B3" s="61"/>
      <c r="C3" s="61"/>
      <c r="D3" s="61"/>
      <c r="E3" s="61"/>
    </row>
    <row r="4" spans="1:6" s="60" customFormat="1" ht="24.6">
      <c r="A4" s="61" t="s">
        <v>99</v>
      </c>
      <c r="B4" s="61"/>
      <c r="C4" s="61"/>
      <c r="D4" s="61"/>
      <c r="E4" s="61"/>
    </row>
    <row r="5" spans="1:6" s="60" customFormat="1" ht="24.6">
      <c r="A5" s="61" t="s">
        <v>100</v>
      </c>
      <c r="B5" s="61"/>
      <c r="C5" s="61"/>
      <c r="D5" s="61"/>
      <c r="E5" s="61"/>
    </row>
    <row r="6" spans="1:6" s="60" customFormat="1" ht="24.6">
      <c r="A6" s="72" t="s">
        <v>1</v>
      </c>
      <c r="B6" s="61"/>
      <c r="C6" s="61"/>
      <c r="D6" s="61"/>
      <c r="E6" s="61"/>
    </row>
    <row r="7" spans="1:6" s="60" customFormat="1" ht="24.6">
      <c r="A7" s="72" t="s">
        <v>2</v>
      </c>
      <c r="B7" s="61"/>
      <c r="C7" s="61"/>
      <c r="D7" s="61"/>
      <c r="E7" s="61"/>
    </row>
    <row r="8" spans="1:6" s="60" customFormat="1" ht="24.6">
      <c r="A8" s="72" t="s">
        <v>12</v>
      </c>
      <c r="B8" s="61"/>
      <c r="C8" s="61"/>
      <c r="D8" s="61"/>
      <c r="E8" s="61"/>
    </row>
    <row r="9" spans="1:6" s="60" customFormat="1" ht="24.6">
      <c r="A9" s="63" t="s">
        <v>157</v>
      </c>
      <c r="B9" s="61"/>
      <c r="C9" s="61"/>
      <c r="D9" s="61"/>
      <c r="E9" s="61"/>
    </row>
    <row r="10" spans="1:6" s="60" customFormat="1" ht="24.6">
      <c r="A10" s="73" t="s">
        <v>4</v>
      </c>
      <c r="B10" s="73" t="s">
        <v>13</v>
      </c>
      <c r="C10" s="76" t="s">
        <v>158</v>
      </c>
      <c r="D10" s="76" t="s">
        <v>81</v>
      </c>
      <c r="E10" s="74" t="s">
        <v>8</v>
      </c>
      <c r="F10" s="73" t="s">
        <v>40</v>
      </c>
    </row>
    <row r="11" spans="1:6" s="60" customFormat="1" ht="24.6">
      <c r="A11" s="74"/>
      <c r="B11" s="81" t="s">
        <v>157</v>
      </c>
      <c r="C11" s="76"/>
      <c r="D11" s="76"/>
      <c r="E11" s="74"/>
      <c r="F11" s="74"/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H13"/>
  <sheetViews>
    <sheetView zoomScale="60" zoomScaleNormal="60" workbookViewId="0">
      <selection activeCell="F10" sqref="F10"/>
    </sheetView>
  </sheetViews>
  <sheetFormatPr defaultColWidth="9.109375" defaultRowHeight="24.6"/>
  <cols>
    <col min="1" max="1" width="6.109375" style="1" customWidth="1"/>
    <col min="2" max="2" width="39.88671875" style="1" customWidth="1"/>
    <col min="3" max="3" width="19.44140625" style="1" customWidth="1"/>
    <col min="4" max="4" width="19" style="1" customWidth="1"/>
    <col min="5" max="5" width="20.44140625" style="125" customWidth="1"/>
    <col min="6" max="6" width="21.21875" style="125" customWidth="1"/>
    <col min="7" max="7" width="24.33203125" style="125" customWidth="1"/>
    <col min="8" max="8" width="18.44140625" style="125" customWidth="1"/>
    <col min="9" max="16384" width="9.109375" style="1"/>
  </cols>
  <sheetData>
    <row r="1" spans="1:8">
      <c r="A1" s="162" t="s">
        <v>91</v>
      </c>
      <c r="B1" s="162"/>
      <c r="C1" s="162"/>
      <c r="D1" s="162"/>
      <c r="E1" s="162"/>
      <c r="F1" s="162"/>
      <c r="G1" s="162"/>
    </row>
    <row r="2" spans="1:8" s="60" customFormat="1">
      <c r="A2" s="61" t="s">
        <v>0</v>
      </c>
      <c r="B2" s="61"/>
      <c r="C2" s="61"/>
      <c r="D2" s="61"/>
      <c r="E2" s="71"/>
      <c r="F2" s="126"/>
      <c r="G2" s="126"/>
      <c r="H2" s="126"/>
    </row>
    <row r="3" spans="1:8" s="60" customFormat="1">
      <c r="A3" s="61" t="s">
        <v>98</v>
      </c>
      <c r="B3" s="61"/>
      <c r="C3" s="61"/>
      <c r="D3" s="61"/>
      <c r="E3" s="71"/>
      <c r="F3" s="126"/>
      <c r="G3" s="126"/>
      <c r="H3" s="126"/>
    </row>
    <row r="4" spans="1:8" s="60" customFormat="1">
      <c r="A4" s="61" t="s">
        <v>99</v>
      </c>
      <c r="B4" s="61"/>
      <c r="C4" s="61"/>
      <c r="D4" s="61"/>
      <c r="E4" s="71"/>
      <c r="F4" s="126"/>
      <c r="G4" s="126"/>
      <c r="H4" s="126"/>
    </row>
    <row r="5" spans="1:8" s="60" customFormat="1">
      <c r="A5" s="61" t="s">
        <v>100</v>
      </c>
      <c r="B5" s="61"/>
      <c r="C5" s="61"/>
      <c r="D5" s="61"/>
      <c r="E5" s="71"/>
      <c r="F5" s="126"/>
      <c r="G5" s="126"/>
      <c r="H5" s="126"/>
    </row>
    <row r="6" spans="1:8" s="60" customFormat="1">
      <c r="A6" s="72" t="s">
        <v>1</v>
      </c>
      <c r="B6" s="61"/>
      <c r="C6" s="61"/>
      <c r="D6" s="61"/>
      <c r="E6" s="71"/>
      <c r="F6" s="126"/>
      <c r="G6" s="126"/>
      <c r="H6" s="126"/>
    </row>
    <row r="7" spans="1:8">
      <c r="A7" s="78" t="s">
        <v>2</v>
      </c>
      <c r="B7" s="2"/>
      <c r="C7" s="2"/>
    </row>
    <row r="8" spans="1:8">
      <c r="A8" s="78" t="s">
        <v>12</v>
      </c>
      <c r="B8" s="2"/>
      <c r="C8" s="2"/>
    </row>
    <row r="9" spans="1:8">
      <c r="A9" s="28" t="s">
        <v>161</v>
      </c>
      <c r="B9" s="2"/>
      <c r="C9" s="2"/>
    </row>
    <row r="10" spans="1:8">
      <c r="A10" s="75" t="s">
        <v>4</v>
      </c>
      <c r="B10" s="75" t="s">
        <v>13</v>
      </c>
      <c r="C10" s="76" t="s">
        <v>159</v>
      </c>
      <c r="D10" s="76" t="s">
        <v>160</v>
      </c>
      <c r="E10" s="76" t="s">
        <v>155</v>
      </c>
      <c r="F10" s="76" t="s">
        <v>156</v>
      </c>
      <c r="G10" s="76" t="s">
        <v>40</v>
      </c>
    </row>
    <row r="11" spans="1:8">
      <c r="A11" s="76"/>
      <c r="B11" s="22"/>
      <c r="C11" s="76"/>
      <c r="D11" s="22"/>
      <c r="E11" s="22"/>
      <c r="F11" s="22"/>
      <c r="G11" s="22"/>
    </row>
    <row r="12" spans="1:8">
      <c r="A12" s="22"/>
      <c r="B12" s="22"/>
      <c r="C12" s="22"/>
      <c r="D12" s="22"/>
      <c r="E12" s="22"/>
      <c r="F12" s="22"/>
      <c r="G12" s="22"/>
    </row>
    <row r="13" spans="1:8">
      <c r="A13" s="22"/>
      <c r="B13" s="22"/>
      <c r="C13" s="22"/>
      <c r="D13" s="22"/>
      <c r="E13" s="22"/>
      <c r="F13" s="22"/>
      <c r="G13" s="22"/>
    </row>
  </sheetData>
  <mergeCells count="1">
    <mergeCell ref="A1:G1"/>
  </mergeCells>
  <pageMargins left="0.7" right="0.7" top="0.75" bottom="0.75" header="0.3" footer="0.3"/>
  <pageSetup fitToHeight="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D13"/>
  <sheetViews>
    <sheetView zoomScale="60" zoomScaleNormal="60" workbookViewId="0">
      <selection activeCell="C10" sqref="C10"/>
    </sheetView>
  </sheetViews>
  <sheetFormatPr defaultColWidth="9.109375" defaultRowHeight="24.6"/>
  <cols>
    <col min="1" max="1" width="6.109375" style="1" customWidth="1"/>
    <col min="2" max="2" width="56.6640625" style="1" customWidth="1"/>
    <col min="3" max="3" width="25.21875" style="1" customWidth="1"/>
    <col min="4" max="4" width="18.44140625" style="125" customWidth="1"/>
    <col min="5" max="16384" width="9.109375" style="1"/>
  </cols>
  <sheetData>
    <row r="1" spans="1:4">
      <c r="A1" s="162" t="s">
        <v>91</v>
      </c>
      <c r="B1" s="162"/>
      <c r="C1" s="162"/>
    </row>
    <row r="2" spans="1:4" s="60" customFormat="1">
      <c r="A2" s="61" t="s">
        <v>0</v>
      </c>
      <c r="B2" s="61"/>
      <c r="C2" s="61"/>
      <c r="D2" s="126"/>
    </row>
    <row r="3" spans="1:4" s="60" customFormat="1">
      <c r="A3" s="61" t="s">
        <v>98</v>
      </c>
      <c r="B3" s="61"/>
      <c r="C3" s="61"/>
      <c r="D3" s="126"/>
    </row>
    <row r="4" spans="1:4" s="60" customFormat="1">
      <c r="A4" s="61" t="s">
        <v>99</v>
      </c>
      <c r="B4" s="61"/>
      <c r="C4" s="61"/>
      <c r="D4" s="126"/>
    </row>
    <row r="5" spans="1:4" s="60" customFormat="1">
      <c r="A5" s="61" t="s">
        <v>100</v>
      </c>
      <c r="B5" s="61"/>
      <c r="C5" s="61"/>
      <c r="D5" s="126"/>
    </row>
    <row r="6" spans="1:4" s="60" customFormat="1">
      <c r="A6" s="72" t="s">
        <v>1</v>
      </c>
      <c r="B6" s="61"/>
      <c r="C6" s="61"/>
      <c r="D6" s="126"/>
    </row>
    <row r="7" spans="1:4">
      <c r="A7" s="3" t="s">
        <v>2</v>
      </c>
      <c r="B7" s="2"/>
      <c r="C7" s="2"/>
    </row>
    <row r="8" spans="1:4">
      <c r="A8" s="3" t="s">
        <v>12</v>
      </c>
      <c r="B8" s="2"/>
      <c r="C8" s="2"/>
    </row>
    <row r="9" spans="1:4">
      <c r="A9" s="28" t="s">
        <v>161</v>
      </c>
      <c r="B9" s="2"/>
      <c r="C9" s="2"/>
    </row>
    <row r="10" spans="1:4">
      <c r="A10" s="75" t="s">
        <v>4</v>
      </c>
      <c r="B10" s="75" t="s">
        <v>163</v>
      </c>
      <c r="C10" s="76" t="s">
        <v>162</v>
      </c>
    </row>
    <row r="11" spans="1:4">
      <c r="A11" s="76"/>
      <c r="B11" s="22"/>
      <c r="C11" s="76"/>
    </row>
    <row r="12" spans="1:4">
      <c r="A12" s="22"/>
      <c r="B12" s="22"/>
      <c r="C12" s="22"/>
    </row>
    <row r="13" spans="1:4">
      <c r="A13" s="22"/>
      <c r="B13" s="22"/>
      <c r="C13" s="22"/>
    </row>
  </sheetData>
  <mergeCells count="1">
    <mergeCell ref="A1:C1"/>
  </mergeCells>
  <pageMargins left="0.7" right="0.7" top="0.75" bottom="0.75" header="0.3" footer="0.3"/>
  <pageSetup fitToHeight="0" orientation="landscape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A9" sqref="A9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5.44140625" style="60" customWidth="1"/>
    <col min="4" max="4" width="13.44140625" style="60" customWidth="1"/>
    <col min="5" max="5" width="16.5546875" style="60" customWidth="1"/>
    <col min="6" max="6" width="19.44140625" style="60" customWidth="1"/>
    <col min="7" max="9" width="19" style="60" customWidth="1"/>
    <col min="10" max="16384" width="9.109375" style="60"/>
  </cols>
  <sheetData>
    <row r="1" spans="1:7">
      <c r="A1" s="162" t="s">
        <v>91</v>
      </c>
      <c r="B1" s="162"/>
      <c r="C1" s="162"/>
      <c r="D1" s="162"/>
      <c r="E1" s="162"/>
      <c r="F1" s="162"/>
      <c r="G1" s="162"/>
    </row>
    <row r="2" spans="1:7">
      <c r="A2" s="61" t="s">
        <v>0</v>
      </c>
      <c r="B2" s="61"/>
      <c r="C2" s="61"/>
      <c r="D2" s="61"/>
    </row>
    <row r="3" spans="1:7">
      <c r="A3" s="61" t="s">
        <v>98</v>
      </c>
      <c r="B3" s="61"/>
      <c r="C3" s="61"/>
      <c r="D3" s="61"/>
    </row>
    <row r="4" spans="1:7">
      <c r="A4" s="61" t="s">
        <v>99</v>
      </c>
      <c r="B4" s="61"/>
      <c r="C4" s="61"/>
      <c r="D4" s="61"/>
    </row>
    <row r="5" spans="1:7">
      <c r="A5" s="61" t="s">
        <v>100</v>
      </c>
      <c r="B5" s="61"/>
      <c r="C5" s="61"/>
      <c r="D5" s="61"/>
    </row>
    <row r="6" spans="1:7">
      <c r="A6" s="72" t="s">
        <v>1</v>
      </c>
      <c r="B6" s="61"/>
      <c r="C6" s="61"/>
      <c r="D6" s="61"/>
    </row>
    <row r="7" spans="1:7">
      <c r="A7" s="72" t="s">
        <v>2</v>
      </c>
      <c r="B7" s="61"/>
      <c r="C7" s="61"/>
      <c r="D7" s="61"/>
    </row>
    <row r="8" spans="1:7">
      <c r="A8" s="72" t="s">
        <v>41</v>
      </c>
      <c r="B8" s="61"/>
      <c r="C8" s="61"/>
      <c r="D8" s="61"/>
    </row>
    <row r="9" spans="1:7">
      <c r="A9" s="63" t="s">
        <v>42</v>
      </c>
      <c r="B9" s="61"/>
      <c r="C9" s="61"/>
      <c r="D9" s="61"/>
      <c r="E9" s="61"/>
      <c r="F9" s="61"/>
    </row>
    <row r="10" spans="1:7">
      <c r="A10" s="73" t="s">
        <v>4</v>
      </c>
      <c r="B10" s="75" t="s">
        <v>13</v>
      </c>
      <c r="C10" s="76" t="s">
        <v>34</v>
      </c>
      <c r="D10" s="74" t="s">
        <v>35</v>
      </c>
      <c r="E10" s="74" t="s">
        <v>155</v>
      </c>
      <c r="F10" s="74" t="s">
        <v>156</v>
      </c>
      <c r="G10" s="73" t="s">
        <v>40</v>
      </c>
    </row>
    <row r="11" spans="1:7">
      <c r="A11" s="74"/>
      <c r="B11" s="77"/>
      <c r="C11" s="76"/>
      <c r="D11" s="74"/>
      <c r="E11" s="74"/>
      <c r="F11" s="74"/>
      <c r="G11" s="74"/>
    </row>
    <row r="12" spans="1:7">
      <c r="A12" s="65"/>
      <c r="B12" s="65"/>
      <c r="C12" s="65"/>
      <c r="D12" s="65"/>
      <c r="E12" s="65"/>
      <c r="F12" s="65"/>
      <c r="G12" s="65"/>
    </row>
    <row r="13" spans="1:7">
      <c r="A13" s="65"/>
      <c r="B13" s="65"/>
      <c r="C13" s="65"/>
      <c r="D13" s="65"/>
      <c r="E13" s="65"/>
      <c r="F13" s="65"/>
      <c r="G13" s="65"/>
    </row>
  </sheetData>
  <mergeCells count="1">
    <mergeCell ref="A1:G1"/>
  </mergeCells>
  <pageMargins left="0.7" right="0.7" top="0.75" bottom="0.75" header="0.3" footer="0.3"/>
  <pageSetup scale="81" fitToHeight="0" orientation="landscape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H12"/>
  <sheetViews>
    <sheetView zoomScale="60" zoomScaleNormal="60" workbookViewId="0">
      <selection activeCell="H10" sqref="H10"/>
    </sheetView>
  </sheetViews>
  <sheetFormatPr defaultColWidth="9.109375" defaultRowHeight="24.6"/>
  <cols>
    <col min="1" max="1" width="6.109375" style="1" customWidth="1"/>
    <col min="2" max="2" width="52.33203125" style="1" customWidth="1"/>
    <col min="3" max="3" width="16.21875" style="1" customWidth="1"/>
    <col min="4" max="4" width="17" style="1" customWidth="1"/>
    <col min="5" max="5" width="15.33203125" style="1" customWidth="1"/>
    <col min="6" max="6" width="15.6640625" style="1" customWidth="1"/>
    <col min="7" max="7" width="14.6640625" style="1" customWidth="1"/>
    <col min="8" max="8" width="15.44140625" style="1" customWidth="1"/>
    <col min="9" max="16384" width="9.109375" style="1"/>
  </cols>
  <sheetData>
    <row r="1" spans="1:8">
      <c r="A1" s="178" t="s">
        <v>91</v>
      </c>
      <c r="B1" s="178"/>
      <c r="C1" s="178"/>
      <c r="D1" s="178"/>
      <c r="E1" s="178"/>
      <c r="F1" s="178"/>
      <c r="G1" s="178"/>
      <c r="H1" s="178"/>
    </row>
    <row r="2" spans="1:8" s="60" customFormat="1">
      <c r="A2" s="61" t="s">
        <v>0</v>
      </c>
      <c r="B2" s="61"/>
      <c r="C2" s="61"/>
      <c r="D2" s="61"/>
    </row>
    <row r="3" spans="1:8" s="60" customFormat="1">
      <c r="A3" s="61" t="s">
        <v>98</v>
      </c>
      <c r="B3" s="61"/>
      <c r="C3" s="61"/>
      <c r="D3" s="61"/>
    </row>
    <row r="4" spans="1:8" s="60" customFormat="1">
      <c r="A4" s="61" t="s">
        <v>99</v>
      </c>
      <c r="B4" s="61"/>
      <c r="C4" s="61"/>
      <c r="D4" s="61"/>
    </row>
    <row r="5" spans="1:8" s="60" customFormat="1">
      <c r="A5" s="61" t="s">
        <v>100</v>
      </c>
      <c r="B5" s="61"/>
      <c r="C5" s="61"/>
      <c r="D5" s="61"/>
    </row>
    <row r="6" spans="1:8" s="60" customFormat="1">
      <c r="A6" s="72" t="s">
        <v>1</v>
      </c>
      <c r="B6" s="61"/>
      <c r="C6" s="61"/>
      <c r="D6" s="61"/>
    </row>
    <row r="7" spans="1:8">
      <c r="A7" s="3" t="s">
        <v>2</v>
      </c>
      <c r="B7" s="2"/>
      <c r="C7" s="2"/>
      <c r="D7" s="2"/>
    </row>
    <row r="8" spans="1:8">
      <c r="A8" s="3" t="s">
        <v>41</v>
      </c>
      <c r="B8" s="2"/>
      <c r="C8" s="2"/>
      <c r="D8" s="2"/>
    </row>
    <row r="9" spans="1:8">
      <c r="A9" s="28" t="s">
        <v>43</v>
      </c>
      <c r="B9" s="2"/>
    </row>
    <row r="10" spans="1:8">
      <c r="A10" s="75" t="s">
        <v>4</v>
      </c>
      <c r="B10" s="75" t="s">
        <v>29</v>
      </c>
      <c r="C10" s="75" t="s">
        <v>164</v>
      </c>
      <c r="D10" s="75" t="s">
        <v>165</v>
      </c>
      <c r="E10" s="75" t="s">
        <v>44</v>
      </c>
      <c r="F10" s="75" t="s">
        <v>166</v>
      </c>
      <c r="G10" s="75" t="s">
        <v>156</v>
      </c>
      <c r="H10" s="76" t="s">
        <v>167</v>
      </c>
    </row>
    <row r="11" spans="1:8">
      <c r="A11" s="5"/>
      <c r="B11" s="5"/>
      <c r="C11" s="5"/>
      <c r="D11" s="5"/>
      <c r="E11" s="5"/>
      <c r="F11" s="5"/>
      <c r="G11" s="12"/>
      <c r="H11" s="5"/>
    </row>
    <row r="12" spans="1:8">
      <c r="A12" s="5"/>
      <c r="B12" s="5"/>
      <c r="C12" s="13"/>
      <c r="D12" s="13"/>
      <c r="E12" s="13"/>
      <c r="F12" s="13"/>
      <c r="G12" s="13"/>
      <c r="H12" s="5"/>
    </row>
  </sheetData>
  <mergeCells count="1">
    <mergeCell ref="A1:H1"/>
  </mergeCells>
  <pageMargins left="0.7" right="0.7" top="0.75" bottom="0.75" header="0.3" footer="0.3"/>
  <pageSetup fitToHeight="0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C21" sqref="C21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5.44140625" style="60" customWidth="1"/>
    <col min="4" max="4" width="13.44140625" style="60" customWidth="1"/>
    <col min="5" max="5" width="16.5546875" style="60" customWidth="1"/>
    <col min="6" max="6" width="19.44140625" style="60" customWidth="1"/>
    <col min="7" max="9" width="19" style="60" customWidth="1"/>
    <col min="10" max="16384" width="9.109375" style="60"/>
  </cols>
  <sheetData>
    <row r="1" spans="1:7">
      <c r="A1" s="184" t="s">
        <v>91</v>
      </c>
      <c r="B1" s="184"/>
      <c r="C1" s="184"/>
      <c r="D1" s="184"/>
      <c r="E1" s="184"/>
      <c r="F1" s="184"/>
      <c r="G1" s="184"/>
    </row>
    <row r="2" spans="1:7">
      <c r="A2" s="61" t="s">
        <v>0</v>
      </c>
      <c r="B2" s="61"/>
      <c r="C2" s="61"/>
      <c r="D2" s="61"/>
    </row>
    <row r="3" spans="1:7">
      <c r="A3" s="61" t="s">
        <v>98</v>
      </c>
      <c r="B3" s="61"/>
      <c r="C3" s="61"/>
      <c r="D3" s="61"/>
    </row>
    <row r="4" spans="1:7">
      <c r="A4" s="61" t="s">
        <v>99</v>
      </c>
      <c r="B4" s="61"/>
      <c r="C4" s="61"/>
      <c r="D4" s="61"/>
    </row>
    <row r="5" spans="1:7">
      <c r="A5" s="61" t="s">
        <v>100</v>
      </c>
      <c r="B5" s="61"/>
      <c r="C5" s="61"/>
      <c r="D5" s="61"/>
    </row>
    <row r="6" spans="1:7">
      <c r="A6" s="72" t="s">
        <v>1</v>
      </c>
      <c r="B6" s="61"/>
      <c r="C6" s="61"/>
      <c r="D6" s="61"/>
    </row>
    <row r="7" spans="1:7">
      <c r="A7" s="72" t="s">
        <v>2</v>
      </c>
      <c r="B7" s="61"/>
      <c r="C7" s="61"/>
      <c r="D7" s="61"/>
    </row>
    <row r="8" spans="1:7">
      <c r="A8" s="72" t="s">
        <v>41</v>
      </c>
      <c r="B8" s="61"/>
      <c r="C8" s="61"/>
      <c r="D8" s="61"/>
    </row>
    <row r="9" spans="1:7">
      <c r="A9" s="63" t="s">
        <v>168</v>
      </c>
      <c r="B9" s="61"/>
      <c r="C9" s="61"/>
      <c r="D9" s="61"/>
      <c r="E9" s="61"/>
      <c r="F9" s="61"/>
    </row>
    <row r="10" spans="1:7">
      <c r="A10" s="73" t="s">
        <v>4</v>
      </c>
      <c r="B10" s="75" t="s">
        <v>13</v>
      </c>
      <c r="C10" s="76" t="s">
        <v>34</v>
      </c>
      <c r="D10" s="74" t="s">
        <v>35</v>
      </c>
      <c r="E10" s="74" t="s">
        <v>155</v>
      </c>
      <c r="F10" s="74" t="s">
        <v>156</v>
      </c>
      <c r="G10" s="73" t="s">
        <v>40</v>
      </c>
    </row>
    <row r="11" spans="1:7">
      <c r="A11" s="74"/>
      <c r="B11" s="77"/>
      <c r="C11" s="76"/>
      <c r="D11" s="74"/>
      <c r="E11" s="74"/>
      <c r="F11" s="74"/>
      <c r="G11" s="74"/>
    </row>
    <row r="12" spans="1:7">
      <c r="A12" s="65"/>
      <c r="B12" s="65"/>
      <c r="C12" s="65"/>
      <c r="D12" s="65"/>
      <c r="E12" s="65"/>
      <c r="F12" s="65"/>
      <c r="G12" s="65"/>
    </row>
    <row r="13" spans="1:7">
      <c r="A13" s="65"/>
      <c r="B13" s="65"/>
      <c r="C13" s="65"/>
      <c r="D13" s="65"/>
      <c r="E13" s="65"/>
      <c r="F13" s="65"/>
      <c r="G13" s="65"/>
    </row>
  </sheetData>
  <mergeCells count="1">
    <mergeCell ref="A1:G1"/>
  </mergeCells>
  <pageMargins left="0.7" right="0.7" top="0.75" bottom="0.75" header="0.3" footer="0.3"/>
  <pageSetup scale="81" fitToHeight="0" orientation="landscape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C21" sqref="C21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5.44140625" style="60" customWidth="1"/>
    <col min="4" max="4" width="13.44140625" style="60" customWidth="1"/>
    <col min="5" max="5" width="16.5546875" style="60" customWidth="1"/>
    <col min="6" max="6" width="19.44140625" style="60" customWidth="1"/>
    <col min="7" max="9" width="19" style="60" customWidth="1"/>
    <col min="10" max="16384" width="9.109375" style="60"/>
  </cols>
  <sheetData>
    <row r="1" spans="1:7">
      <c r="A1" s="184" t="s">
        <v>91</v>
      </c>
      <c r="B1" s="184"/>
      <c r="C1" s="184"/>
      <c r="D1" s="184"/>
      <c r="E1" s="184"/>
      <c r="F1" s="184"/>
      <c r="G1" s="184"/>
    </row>
    <row r="2" spans="1:7">
      <c r="A2" s="61" t="s">
        <v>0</v>
      </c>
      <c r="B2" s="61"/>
      <c r="C2" s="61"/>
      <c r="D2" s="61"/>
    </row>
    <row r="3" spans="1:7">
      <c r="A3" s="61" t="s">
        <v>98</v>
      </c>
      <c r="B3" s="61"/>
      <c r="C3" s="61"/>
      <c r="D3" s="61"/>
    </row>
    <row r="4" spans="1:7">
      <c r="A4" s="61" t="s">
        <v>99</v>
      </c>
      <c r="B4" s="61"/>
      <c r="C4" s="61"/>
      <c r="D4" s="61"/>
    </row>
    <row r="5" spans="1:7">
      <c r="A5" s="61" t="s">
        <v>100</v>
      </c>
      <c r="B5" s="61"/>
      <c r="C5" s="61"/>
      <c r="D5" s="61"/>
    </row>
    <row r="6" spans="1:7">
      <c r="A6" s="72" t="s">
        <v>1</v>
      </c>
      <c r="B6" s="61"/>
      <c r="C6" s="61"/>
      <c r="D6" s="61"/>
    </row>
    <row r="7" spans="1:7">
      <c r="A7" s="72" t="s">
        <v>2</v>
      </c>
      <c r="B7" s="61"/>
      <c r="C7" s="61"/>
      <c r="D7" s="61"/>
    </row>
    <row r="8" spans="1:7">
      <c r="A8" s="72" t="s">
        <v>41</v>
      </c>
      <c r="B8" s="61"/>
      <c r="C8" s="61"/>
      <c r="D8" s="61"/>
    </row>
    <row r="9" spans="1:7">
      <c r="A9" s="63" t="s">
        <v>169</v>
      </c>
      <c r="B9" s="61"/>
      <c r="C9" s="61"/>
      <c r="D9" s="61"/>
      <c r="E9" s="61"/>
      <c r="F9" s="61"/>
    </row>
    <row r="10" spans="1:7">
      <c r="A10" s="73" t="s">
        <v>4</v>
      </c>
      <c r="B10" s="75" t="s">
        <v>13</v>
      </c>
      <c r="C10" s="76" t="s">
        <v>34</v>
      </c>
      <c r="D10" s="74" t="s">
        <v>35</v>
      </c>
      <c r="E10" s="74" t="s">
        <v>155</v>
      </c>
      <c r="F10" s="74" t="s">
        <v>156</v>
      </c>
      <c r="G10" s="73" t="s">
        <v>40</v>
      </c>
    </row>
    <row r="11" spans="1:7">
      <c r="A11" s="74"/>
      <c r="B11" s="77"/>
      <c r="C11" s="76"/>
      <c r="D11" s="74"/>
      <c r="E11" s="74"/>
      <c r="F11" s="74"/>
      <c r="G11" s="74"/>
    </row>
    <row r="12" spans="1:7">
      <c r="A12" s="65"/>
      <c r="B12" s="65"/>
      <c r="C12" s="65"/>
      <c r="D12" s="65"/>
      <c r="E12" s="65"/>
      <c r="F12" s="65"/>
      <c r="G12" s="65"/>
    </row>
    <row r="13" spans="1:7">
      <c r="A13" s="65"/>
      <c r="B13" s="65"/>
      <c r="C13" s="65"/>
      <c r="D13" s="65"/>
      <c r="E13" s="65"/>
      <c r="F13" s="65"/>
      <c r="G13" s="65"/>
    </row>
  </sheetData>
  <mergeCells count="1">
    <mergeCell ref="A1:G1"/>
  </mergeCells>
  <pageMargins left="0.7" right="0.7" top="0.75" bottom="0.75" header="0.3" footer="0.3"/>
  <pageSetup scale="81" fitToHeight="0" orientation="landscape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F25" sqref="F25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5.44140625" style="60" customWidth="1"/>
    <col min="4" max="4" width="13.44140625" style="60" customWidth="1"/>
    <col min="5" max="5" width="16.5546875" style="60" customWidth="1"/>
    <col min="6" max="6" width="19.44140625" style="60" customWidth="1"/>
    <col min="7" max="9" width="19" style="60" customWidth="1"/>
    <col min="10" max="16384" width="9.109375" style="60"/>
  </cols>
  <sheetData>
    <row r="1" spans="1:7">
      <c r="A1" s="184" t="s">
        <v>91</v>
      </c>
      <c r="B1" s="184"/>
      <c r="C1" s="184"/>
      <c r="D1" s="184"/>
      <c r="E1" s="184"/>
      <c r="F1" s="184"/>
      <c r="G1" s="184"/>
    </row>
    <row r="2" spans="1:7">
      <c r="A2" s="61" t="s">
        <v>0</v>
      </c>
      <c r="B2" s="61"/>
      <c r="C2" s="61"/>
      <c r="D2" s="61"/>
    </row>
    <row r="3" spans="1:7">
      <c r="A3" s="61" t="s">
        <v>98</v>
      </c>
      <c r="B3" s="61"/>
      <c r="C3" s="61"/>
      <c r="D3" s="61"/>
    </row>
    <row r="4" spans="1:7">
      <c r="A4" s="61" t="s">
        <v>99</v>
      </c>
      <c r="B4" s="61"/>
      <c r="C4" s="61"/>
      <c r="D4" s="61"/>
    </row>
    <row r="5" spans="1:7">
      <c r="A5" s="61" t="s">
        <v>100</v>
      </c>
      <c r="B5" s="61"/>
      <c r="C5" s="61"/>
      <c r="D5" s="61"/>
    </row>
    <row r="6" spans="1:7">
      <c r="A6" s="72" t="s">
        <v>1</v>
      </c>
      <c r="B6" s="61"/>
      <c r="C6" s="61"/>
      <c r="D6" s="61"/>
    </row>
    <row r="7" spans="1:7">
      <c r="A7" s="72" t="s">
        <v>2</v>
      </c>
      <c r="B7" s="61"/>
      <c r="C7" s="61"/>
      <c r="D7" s="61"/>
    </row>
    <row r="8" spans="1:7">
      <c r="A8" s="72" t="s">
        <v>41</v>
      </c>
      <c r="B8" s="61"/>
      <c r="C8" s="61"/>
      <c r="D8" s="61"/>
    </row>
    <row r="9" spans="1:7">
      <c r="A9" s="63" t="s">
        <v>170</v>
      </c>
      <c r="B9" s="61"/>
      <c r="C9" s="61"/>
      <c r="D9" s="61"/>
      <c r="E9" s="61"/>
      <c r="F9" s="61"/>
    </row>
    <row r="10" spans="1:7">
      <c r="A10" s="73" t="s">
        <v>4</v>
      </c>
      <c r="B10" s="75" t="s">
        <v>13</v>
      </c>
      <c r="C10" s="76" t="s">
        <v>34</v>
      </c>
      <c r="D10" s="74" t="s">
        <v>35</v>
      </c>
      <c r="E10" s="74" t="s">
        <v>155</v>
      </c>
      <c r="F10" s="74" t="s">
        <v>156</v>
      </c>
      <c r="G10" s="73" t="s">
        <v>40</v>
      </c>
    </row>
    <row r="11" spans="1:7">
      <c r="A11" s="74"/>
      <c r="B11" s="77"/>
      <c r="C11" s="76"/>
      <c r="D11" s="74"/>
      <c r="E11" s="74"/>
      <c r="F11" s="74"/>
      <c r="G11" s="74"/>
    </row>
    <row r="12" spans="1:7">
      <c r="A12" s="65"/>
      <c r="B12" s="65"/>
      <c r="C12" s="65"/>
      <c r="D12" s="65"/>
      <c r="E12" s="65"/>
      <c r="F12" s="65"/>
      <c r="G12" s="65"/>
    </row>
    <row r="13" spans="1:7">
      <c r="A13" s="65"/>
      <c r="B13" s="65"/>
      <c r="C13" s="65"/>
      <c r="D13" s="65"/>
      <c r="E13" s="65"/>
      <c r="F13" s="65"/>
      <c r="G13" s="65"/>
    </row>
  </sheetData>
  <mergeCells count="1">
    <mergeCell ref="A1:G1"/>
  </mergeCells>
  <pageMargins left="0.7" right="0.7" top="0.75" bottom="0.75" header="0.3" footer="0.3"/>
  <pageSetup scale="81" fitToHeight="0" orientation="landscape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F25" sqref="F25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5.44140625" style="60" customWidth="1"/>
    <col min="4" max="4" width="13.44140625" style="60" customWidth="1"/>
    <col min="5" max="5" width="16.5546875" style="60" customWidth="1"/>
    <col min="6" max="6" width="19.44140625" style="60" customWidth="1"/>
    <col min="7" max="9" width="19" style="60" customWidth="1"/>
    <col min="10" max="16384" width="9.109375" style="60"/>
  </cols>
  <sheetData>
    <row r="1" spans="1:7">
      <c r="A1" s="184" t="s">
        <v>91</v>
      </c>
      <c r="B1" s="184"/>
      <c r="C1" s="184"/>
      <c r="D1" s="184"/>
      <c r="E1" s="184"/>
      <c r="F1" s="184"/>
      <c r="G1" s="184"/>
    </row>
    <row r="2" spans="1:7">
      <c r="A2" s="61" t="s">
        <v>0</v>
      </c>
      <c r="B2" s="61"/>
      <c r="C2" s="61"/>
      <c r="D2" s="61"/>
    </row>
    <row r="3" spans="1:7">
      <c r="A3" s="61" t="s">
        <v>98</v>
      </c>
      <c r="B3" s="61"/>
      <c r="C3" s="61"/>
      <c r="D3" s="61"/>
    </row>
    <row r="4" spans="1:7">
      <c r="A4" s="61" t="s">
        <v>99</v>
      </c>
      <c r="B4" s="61"/>
      <c r="C4" s="61"/>
      <c r="D4" s="61"/>
    </row>
    <row r="5" spans="1:7">
      <c r="A5" s="61" t="s">
        <v>100</v>
      </c>
      <c r="B5" s="61"/>
      <c r="C5" s="61"/>
      <c r="D5" s="61"/>
    </row>
    <row r="6" spans="1:7">
      <c r="A6" s="72" t="s">
        <v>1</v>
      </c>
      <c r="B6" s="61"/>
      <c r="C6" s="61"/>
      <c r="D6" s="61"/>
    </row>
    <row r="7" spans="1:7">
      <c r="A7" s="72" t="s">
        <v>2</v>
      </c>
      <c r="B7" s="61"/>
      <c r="C7" s="61"/>
      <c r="D7" s="61"/>
    </row>
    <row r="8" spans="1:7">
      <c r="A8" s="72" t="s">
        <v>41</v>
      </c>
      <c r="B8" s="61"/>
      <c r="C8" s="61"/>
      <c r="D8" s="61"/>
    </row>
    <row r="9" spans="1:7">
      <c r="A9" s="63" t="s">
        <v>171</v>
      </c>
      <c r="B9" s="61"/>
      <c r="C9" s="61"/>
      <c r="D9" s="61"/>
      <c r="E9" s="61"/>
      <c r="F9" s="61"/>
    </row>
    <row r="10" spans="1:7">
      <c r="A10" s="73" t="s">
        <v>4</v>
      </c>
      <c r="B10" s="75" t="s">
        <v>13</v>
      </c>
      <c r="C10" s="76" t="s">
        <v>34</v>
      </c>
      <c r="D10" s="74" t="s">
        <v>35</v>
      </c>
      <c r="E10" s="74" t="s">
        <v>155</v>
      </c>
      <c r="F10" s="74" t="s">
        <v>156</v>
      </c>
      <c r="G10" s="73" t="s">
        <v>40</v>
      </c>
    </row>
    <row r="11" spans="1:7">
      <c r="A11" s="74"/>
      <c r="B11" s="77"/>
      <c r="C11" s="76"/>
      <c r="D11" s="74"/>
      <c r="E11" s="74"/>
      <c r="F11" s="74"/>
      <c r="G11" s="74"/>
    </row>
    <row r="12" spans="1:7">
      <c r="A12" s="65"/>
      <c r="B12" s="65"/>
      <c r="C12" s="65"/>
      <c r="D12" s="65"/>
      <c r="E12" s="65"/>
      <c r="F12" s="65"/>
      <c r="G12" s="65"/>
    </row>
    <row r="13" spans="1:7">
      <c r="A13" s="65"/>
      <c r="B13" s="65"/>
      <c r="C13" s="65"/>
      <c r="D13" s="65"/>
      <c r="E13" s="65"/>
      <c r="F13" s="65"/>
      <c r="G13" s="65"/>
    </row>
  </sheetData>
  <mergeCells count="1">
    <mergeCell ref="A1:G1"/>
  </mergeCells>
  <pageMargins left="0.7" right="0.7" top="0.75" bottom="0.75" header="0.3" footer="0.3"/>
  <pageSetup scale="81" fitToHeight="0" orientation="landscape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G13"/>
  <sheetViews>
    <sheetView zoomScale="60" zoomScaleNormal="60" workbookViewId="0">
      <selection activeCell="F25" sqref="F25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5.44140625" style="60" customWidth="1"/>
    <col min="4" max="4" width="13.44140625" style="60" customWidth="1"/>
    <col min="5" max="5" width="16.5546875" style="60" customWidth="1"/>
    <col min="6" max="6" width="19.44140625" style="60" customWidth="1"/>
    <col min="7" max="9" width="19" style="60" customWidth="1"/>
    <col min="10" max="16384" width="9.109375" style="60"/>
  </cols>
  <sheetData>
    <row r="1" spans="1:7">
      <c r="A1" s="184" t="s">
        <v>91</v>
      </c>
      <c r="B1" s="184"/>
      <c r="C1" s="184"/>
      <c r="D1" s="184"/>
      <c r="E1" s="184"/>
      <c r="F1" s="184"/>
      <c r="G1" s="184"/>
    </row>
    <row r="2" spans="1:7">
      <c r="A2" s="61" t="s">
        <v>0</v>
      </c>
      <c r="B2" s="61"/>
      <c r="C2" s="61"/>
      <c r="D2" s="61"/>
    </row>
    <row r="3" spans="1:7">
      <c r="A3" s="61" t="s">
        <v>98</v>
      </c>
      <c r="B3" s="61"/>
      <c r="C3" s="61"/>
      <c r="D3" s="61"/>
    </row>
    <row r="4" spans="1:7">
      <c r="A4" s="61" t="s">
        <v>99</v>
      </c>
      <c r="B4" s="61"/>
      <c r="C4" s="61"/>
      <c r="D4" s="61"/>
    </row>
    <row r="5" spans="1:7">
      <c r="A5" s="61" t="s">
        <v>100</v>
      </c>
      <c r="B5" s="61"/>
      <c r="C5" s="61"/>
      <c r="D5" s="61"/>
    </row>
    <row r="6" spans="1:7">
      <c r="A6" s="72" t="s">
        <v>1</v>
      </c>
      <c r="B6" s="61"/>
      <c r="C6" s="61"/>
      <c r="D6" s="61"/>
    </row>
    <row r="7" spans="1:7">
      <c r="A7" s="72" t="s">
        <v>2</v>
      </c>
      <c r="B7" s="61"/>
      <c r="C7" s="61"/>
      <c r="D7" s="61"/>
    </row>
    <row r="8" spans="1:7">
      <c r="A8" s="72" t="s">
        <v>41</v>
      </c>
      <c r="B8" s="61"/>
      <c r="C8" s="61"/>
      <c r="D8" s="61"/>
    </row>
    <row r="9" spans="1:7">
      <c r="A9" s="63" t="s">
        <v>172</v>
      </c>
      <c r="B9" s="61"/>
      <c r="C9" s="61"/>
      <c r="D9" s="61"/>
      <c r="E9" s="61"/>
      <c r="F9" s="61"/>
    </row>
    <row r="10" spans="1:7">
      <c r="A10" s="73" t="s">
        <v>4</v>
      </c>
      <c r="B10" s="75" t="s">
        <v>13</v>
      </c>
      <c r="C10" s="76" t="s">
        <v>34</v>
      </c>
      <c r="D10" s="74" t="s">
        <v>35</v>
      </c>
      <c r="E10" s="74" t="s">
        <v>155</v>
      </c>
      <c r="F10" s="74" t="s">
        <v>156</v>
      </c>
      <c r="G10" s="73" t="s">
        <v>40</v>
      </c>
    </row>
    <row r="11" spans="1:7">
      <c r="A11" s="74"/>
      <c r="B11" s="77"/>
      <c r="C11" s="76"/>
      <c r="D11" s="74"/>
      <c r="E11" s="74"/>
      <c r="F11" s="74"/>
      <c r="G11" s="74"/>
    </row>
    <row r="12" spans="1:7">
      <c r="A12" s="65"/>
      <c r="B12" s="65"/>
      <c r="C12" s="65"/>
      <c r="D12" s="65"/>
      <c r="E12" s="65"/>
      <c r="F12" s="65"/>
      <c r="G12" s="65"/>
    </row>
    <row r="13" spans="1:7">
      <c r="A13" s="65"/>
      <c r="B13" s="65"/>
      <c r="C13" s="65"/>
      <c r="D13" s="65"/>
      <c r="E13" s="65"/>
      <c r="F13" s="65"/>
      <c r="G13" s="65"/>
    </row>
  </sheetData>
  <mergeCells count="1">
    <mergeCell ref="A1:G1"/>
  </mergeCells>
  <pageMargins left="0.7" right="0.7" top="0.75" bottom="0.75" header="0.3" footer="0.3"/>
  <pageSetup scale="81" fitToHeight="0" orientation="landscape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14"/>
  <sheetViews>
    <sheetView zoomScale="70" zoomScaleNormal="70" workbookViewId="0">
      <selection activeCell="A8" sqref="A8"/>
    </sheetView>
  </sheetViews>
  <sheetFormatPr defaultColWidth="9.109375" defaultRowHeight="24.6"/>
  <cols>
    <col min="1" max="1" width="6.109375" style="60" customWidth="1"/>
    <col min="2" max="2" width="61" style="60" customWidth="1"/>
    <col min="3" max="3" width="17.88671875" style="60" customWidth="1"/>
    <col min="4" max="4" width="17.21875" style="60" customWidth="1"/>
    <col min="5" max="16384" width="9.109375" style="60"/>
  </cols>
  <sheetData>
    <row r="1" spans="1:4">
      <c r="A1" s="184" t="s">
        <v>91</v>
      </c>
      <c r="B1" s="184"/>
      <c r="C1" s="184"/>
      <c r="D1" s="184"/>
    </row>
    <row r="2" spans="1:4">
      <c r="A2" s="61" t="s">
        <v>0</v>
      </c>
      <c r="B2" s="61"/>
      <c r="C2" s="61"/>
      <c r="D2" s="61"/>
    </row>
    <row r="3" spans="1:4">
      <c r="A3" s="61" t="s">
        <v>98</v>
      </c>
      <c r="B3" s="61"/>
      <c r="C3" s="61"/>
      <c r="D3" s="61"/>
    </row>
    <row r="4" spans="1:4">
      <c r="A4" s="61" t="s">
        <v>99</v>
      </c>
      <c r="B4" s="61"/>
      <c r="C4" s="61"/>
      <c r="D4" s="61"/>
    </row>
    <row r="5" spans="1:4">
      <c r="A5" s="61" t="s">
        <v>100</v>
      </c>
      <c r="B5" s="61"/>
      <c r="C5" s="61"/>
      <c r="D5" s="61"/>
    </row>
    <row r="6" spans="1:4">
      <c r="A6" s="72" t="s">
        <v>1</v>
      </c>
      <c r="B6" s="61"/>
      <c r="C6" s="61"/>
      <c r="D6" s="61"/>
    </row>
    <row r="7" spans="1:4">
      <c r="A7" s="72" t="s">
        <v>173</v>
      </c>
      <c r="B7" s="61"/>
      <c r="C7" s="61"/>
      <c r="D7" s="61"/>
    </row>
    <row r="8" spans="1:4">
      <c r="A8" s="63" t="s">
        <v>174</v>
      </c>
      <c r="B8" s="61"/>
    </row>
    <row r="9" spans="1:4" ht="49.2">
      <c r="A9" s="127" t="s">
        <v>4</v>
      </c>
      <c r="B9" s="127" t="s">
        <v>13</v>
      </c>
      <c r="C9" s="127" t="s">
        <v>175</v>
      </c>
      <c r="D9" s="127" t="s">
        <v>344</v>
      </c>
    </row>
    <row r="10" spans="1:4">
      <c r="A10" s="128">
        <v>1</v>
      </c>
      <c r="B10" s="129" t="s">
        <v>176</v>
      </c>
      <c r="C10" s="130"/>
      <c r="D10" s="130"/>
    </row>
    <row r="11" spans="1:4">
      <c r="A11" s="128">
        <v>2</v>
      </c>
      <c r="B11" s="129" t="s">
        <v>177</v>
      </c>
      <c r="C11" s="130"/>
      <c r="D11" s="130"/>
    </row>
    <row r="12" spans="1:4">
      <c r="A12" s="128">
        <v>3</v>
      </c>
      <c r="B12" s="131" t="s">
        <v>178</v>
      </c>
      <c r="C12" s="132"/>
      <c r="D12" s="132"/>
    </row>
    <row r="13" spans="1:4">
      <c r="A13" s="128">
        <v>4</v>
      </c>
      <c r="B13" s="131" t="s">
        <v>179</v>
      </c>
      <c r="C13" s="132"/>
      <c r="D13" s="132"/>
    </row>
    <row r="14" spans="1:4">
      <c r="A14" s="128">
        <v>5</v>
      </c>
      <c r="B14" s="65" t="s">
        <v>180</v>
      </c>
      <c r="C14" s="65"/>
      <c r="D14" s="65"/>
    </row>
  </sheetData>
  <mergeCells count="1">
    <mergeCell ref="A1:D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P17"/>
  <sheetViews>
    <sheetView zoomScale="60" zoomScaleNormal="60" workbookViewId="0">
      <selection activeCell="H22" sqref="H22"/>
    </sheetView>
  </sheetViews>
  <sheetFormatPr defaultColWidth="9.109375" defaultRowHeight="24.6"/>
  <cols>
    <col min="1" max="1" width="6.109375" style="1" customWidth="1"/>
    <col min="2" max="2" width="54.44140625" style="1" customWidth="1"/>
    <col min="3" max="3" width="15.109375" style="1" customWidth="1"/>
    <col min="4" max="4" width="16.2187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21875" style="47" customWidth="1"/>
    <col min="10" max="10" width="13.6640625" style="47" customWidth="1"/>
    <col min="11" max="11" width="33.6640625" style="1" customWidth="1"/>
    <col min="12" max="16384" width="9.109375" style="1"/>
  </cols>
  <sheetData>
    <row r="1" spans="1:11">
      <c r="A1" s="178" t="s">
        <v>91</v>
      </c>
      <c r="B1" s="178"/>
      <c r="C1" s="178"/>
      <c r="D1" s="178"/>
    </row>
    <row r="2" spans="1:11" s="60" customFormat="1">
      <c r="A2" s="61" t="s">
        <v>0</v>
      </c>
      <c r="B2" s="61"/>
      <c r="C2" s="61"/>
      <c r="D2" s="61"/>
    </row>
    <row r="3" spans="1:11" s="60" customFormat="1">
      <c r="A3" s="61" t="s">
        <v>98</v>
      </c>
      <c r="B3" s="61"/>
      <c r="C3" s="61"/>
      <c r="D3" s="61"/>
    </row>
    <row r="4" spans="1:11" s="60" customFormat="1">
      <c r="A4" s="61" t="s">
        <v>99</v>
      </c>
      <c r="B4" s="61"/>
      <c r="C4" s="61"/>
      <c r="D4" s="61"/>
    </row>
    <row r="5" spans="1:11" s="60" customFormat="1">
      <c r="A5" s="61" t="s">
        <v>100</v>
      </c>
      <c r="B5" s="61"/>
      <c r="C5" s="61"/>
      <c r="D5" s="61"/>
    </row>
    <row r="6" spans="1:11">
      <c r="A6" s="78" t="s">
        <v>45</v>
      </c>
      <c r="B6" s="2"/>
      <c r="C6" s="2"/>
      <c r="D6" s="2"/>
    </row>
    <row r="7" spans="1:11">
      <c r="A7" s="188" t="s">
        <v>97</v>
      </c>
      <c r="B7" s="188"/>
      <c r="C7" s="2"/>
      <c r="D7" s="2"/>
    </row>
    <row r="8" spans="1:11">
      <c r="A8" s="28" t="s">
        <v>83</v>
      </c>
      <c r="B8" s="14"/>
    </row>
    <row r="9" spans="1:11" ht="52.5" customHeight="1">
      <c r="A9" s="189" t="s">
        <v>4</v>
      </c>
      <c r="B9" s="189" t="s">
        <v>46</v>
      </c>
      <c r="C9" s="191" t="s">
        <v>47</v>
      </c>
      <c r="D9" s="192"/>
      <c r="E9" s="185" t="s">
        <v>48</v>
      </c>
      <c r="F9" s="186"/>
      <c r="G9" s="185" t="s">
        <v>49</v>
      </c>
      <c r="H9" s="186"/>
      <c r="I9" s="187" t="s">
        <v>345</v>
      </c>
      <c r="J9" s="187" t="s">
        <v>346</v>
      </c>
      <c r="K9" s="15" t="s">
        <v>96</v>
      </c>
    </row>
    <row r="10" spans="1:11" ht="52.5" customHeight="1">
      <c r="A10" s="190"/>
      <c r="B10" s="190"/>
      <c r="C10" s="16" t="s">
        <v>52</v>
      </c>
      <c r="D10" s="79" t="s">
        <v>53</v>
      </c>
      <c r="E10" s="18" t="s">
        <v>54</v>
      </c>
      <c r="F10" s="18" t="s">
        <v>55</v>
      </c>
      <c r="G10" s="18" t="s">
        <v>56</v>
      </c>
      <c r="H10" s="18" t="s">
        <v>57</v>
      </c>
      <c r="I10" s="187"/>
      <c r="J10" s="187"/>
      <c r="K10" s="19" t="s">
        <v>33</v>
      </c>
    </row>
    <row r="11" spans="1:11">
      <c r="A11" s="5"/>
      <c r="B11" s="5"/>
      <c r="C11" s="5"/>
      <c r="D11" s="5"/>
      <c r="E11" s="5"/>
      <c r="F11" s="5"/>
      <c r="G11" s="5"/>
      <c r="H11" s="5"/>
      <c r="I11" s="20"/>
      <c r="J11" s="20">
        <f>(G11+H11)*I11</f>
        <v>0</v>
      </c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20"/>
      <c r="J12" s="20">
        <f t="shared" ref="J12:J13" si="0">(G12+H12)*I12</f>
        <v>0</v>
      </c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20"/>
      <c r="J13" s="20">
        <f t="shared" si="0"/>
        <v>0</v>
      </c>
      <c r="K13" s="5"/>
    </row>
    <row r="17" spans="16:16">
      <c r="P17" s="159" t="s">
        <v>341</v>
      </c>
    </row>
  </sheetData>
  <mergeCells count="9">
    <mergeCell ref="G9:H9"/>
    <mergeCell ref="I9:I10"/>
    <mergeCell ref="J9:J10"/>
    <mergeCell ref="A1:D1"/>
    <mergeCell ref="A7:B7"/>
    <mergeCell ref="A9:A10"/>
    <mergeCell ref="B9:B10"/>
    <mergeCell ref="C9:D9"/>
    <mergeCell ref="E9:F9"/>
  </mergeCells>
  <pageMargins left="0.7" right="0.7" top="0.75" bottom="0.75" header="0.3" footer="0.3"/>
  <pageSetup scale="58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K13"/>
  <sheetViews>
    <sheetView zoomScale="60" zoomScaleNormal="60" workbookViewId="0">
      <selection activeCell="H22" sqref="H22"/>
    </sheetView>
  </sheetViews>
  <sheetFormatPr defaultColWidth="9.109375" defaultRowHeight="24.6"/>
  <cols>
    <col min="1" max="1" width="6.109375" style="1" customWidth="1"/>
    <col min="2" max="2" width="54.44140625" style="1" customWidth="1"/>
    <col min="3" max="3" width="15.109375" style="1" customWidth="1"/>
    <col min="4" max="4" width="16.2187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21875" style="47" customWidth="1"/>
    <col min="10" max="10" width="13.6640625" style="47" customWidth="1"/>
    <col min="11" max="11" width="33.6640625" style="1" customWidth="1"/>
    <col min="12" max="16384" width="9.109375" style="1"/>
  </cols>
  <sheetData>
    <row r="1" spans="1:11">
      <c r="A1" s="178" t="s">
        <v>91</v>
      </c>
      <c r="B1" s="178"/>
      <c r="C1" s="178"/>
      <c r="D1" s="178"/>
    </row>
    <row r="2" spans="1:11" s="60" customFormat="1">
      <c r="A2" s="61" t="s">
        <v>0</v>
      </c>
      <c r="B2" s="61"/>
      <c r="C2" s="61"/>
      <c r="D2" s="61"/>
    </row>
    <row r="3" spans="1:11" s="60" customFormat="1">
      <c r="A3" s="61" t="s">
        <v>98</v>
      </c>
      <c r="B3" s="61"/>
      <c r="C3" s="61"/>
      <c r="D3" s="61"/>
    </row>
    <row r="4" spans="1:11" s="60" customFormat="1">
      <c r="A4" s="61" t="s">
        <v>99</v>
      </c>
      <c r="B4" s="61"/>
      <c r="C4" s="61"/>
      <c r="D4" s="61"/>
    </row>
    <row r="5" spans="1:11" s="60" customFormat="1">
      <c r="A5" s="61" t="s">
        <v>100</v>
      </c>
      <c r="B5" s="61"/>
      <c r="C5" s="61"/>
      <c r="D5" s="61"/>
    </row>
    <row r="6" spans="1:11">
      <c r="A6" s="3" t="s">
        <v>45</v>
      </c>
      <c r="B6" s="2"/>
      <c r="C6" s="2"/>
      <c r="D6" s="2"/>
    </row>
    <row r="7" spans="1:11">
      <c r="A7" s="188" t="s">
        <v>97</v>
      </c>
      <c r="B7" s="188"/>
      <c r="C7" s="2"/>
      <c r="D7" s="2"/>
    </row>
    <row r="8" spans="1:11">
      <c r="A8" s="28" t="s">
        <v>58</v>
      </c>
      <c r="B8" s="14"/>
    </row>
    <row r="9" spans="1:11" ht="52.5" customHeight="1">
      <c r="A9" s="189" t="s">
        <v>4</v>
      </c>
      <c r="B9" s="189" t="s">
        <v>46</v>
      </c>
      <c r="C9" s="191" t="s">
        <v>47</v>
      </c>
      <c r="D9" s="192"/>
      <c r="E9" s="185" t="s">
        <v>48</v>
      </c>
      <c r="F9" s="186"/>
      <c r="G9" s="185" t="s">
        <v>49</v>
      </c>
      <c r="H9" s="186"/>
      <c r="I9" s="187" t="s">
        <v>50</v>
      </c>
      <c r="J9" s="187" t="s">
        <v>51</v>
      </c>
      <c r="K9" s="15" t="s">
        <v>96</v>
      </c>
    </row>
    <row r="10" spans="1:11" ht="52.5" customHeight="1">
      <c r="A10" s="190"/>
      <c r="B10" s="190"/>
      <c r="C10" s="16" t="s">
        <v>52</v>
      </c>
      <c r="D10" s="17" t="s">
        <v>53</v>
      </c>
      <c r="E10" s="18" t="s">
        <v>54</v>
      </c>
      <c r="F10" s="18" t="s">
        <v>55</v>
      </c>
      <c r="G10" s="18" t="s">
        <v>56</v>
      </c>
      <c r="H10" s="18" t="s">
        <v>57</v>
      </c>
      <c r="I10" s="187"/>
      <c r="J10" s="187"/>
      <c r="K10" s="19" t="s">
        <v>33</v>
      </c>
    </row>
    <row r="11" spans="1:11">
      <c r="A11" s="5"/>
      <c r="B11" s="5"/>
      <c r="C11" s="5"/>
      <c r="D11" s="5"/>
      <c r="E11" s="5"/>
      <c r="F11" s="5"/>
      <c r="G11" s="5"/>
      <c r="H11" s="5"/>
      <c r="I11" s="20"/>
      <c r="J11" s="20">
        <f>(G11+H11)*I11</f>
        <v>0</v>
      </c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20"/>
      <c r="J12" s="20">
        <f t="shared" ref="J12:J13" si="0">(G12+H12)*I12</f>
        <v>0</v>
      </c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20"/>
      <c r="J13" s="20">
        <f t="shared" si="0"/>
        <v>0</v>
      </c>
      <c r="K13" s="5"/>
    </row>
  </sheetData>
  <mergeCells count="9">
    <mergeCell ref="J9:J10"/>
    <mergeCell ref="A1:D1"/>
    <mergeCell ref="C9:D9"/>
    <mergeCell ref="E9:F9"/>
    <mergeCell ref="G9:H9"/>
    <mergeCell ref="I9:I10"/>
    <mergeCell ref="B9:B10"/>
    <mergeCell ref="A9:A10"/>
    <mergeCell ref="A7:B7"/>
  </mergeCells>
  <pageMargins left="0.7" right="0.7" top="0.75" bottom="0.75" header="0.3" footer="0.3"/>
  <pageSetup scale="58" fitToHeight="0" orientation="landscape" horizontalDpi="0" verticalDpi="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K13"/>
  <sheetViews>
    <sheetView zoomScale="60" zoomScaleNormal="60" workbookViewId="0">
      <selection activeCell="H22" sqref="H22"/>
    </sheetView>
  </sheetViews>
  <sheetFormatPr defaultColWidth="9.109375" defaultRowHeight="24.6"/>
  <cols>
    <col min="1" max="1" width="6.109375" style="1" customWidth="1"/>
    <col min="2" max="2" width="54.44140625" style="1" customWidth="1"/>
    <col min="3" max="3" width="15.109375" style="1" customWidth="1"/>
    <col min="4" max="4" width="16.2187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21875" style="47" customWidth="1"/>
    <col min="10" max="10" width="13.6640625" style="47" customWidth="1"/>
    <col min="11" max="11" width="33.6640625" style="1" customWidth="1"/>
    <col min="12" max="16384" width="9.109375" style="1"/>
  </cols>
  <sheetData>
    <row r="1" spans="1:11">
      <c r="A1" s="178" t="s">
        <v>91</v>
      </c>
      <c r="B1" s="178"/>
      <c r="C1" s="178"/>
      <c r="D1" s="178"/>
    </row>
    <row r="2" spans="1:11" s="60" customFormat="1">
      <c r="A2" s="61" t="s">
        <v>0</v>
      </c>
      <c r="B2" s="61"/>
      <c r="C2" s="61"/>
      <c r="D2" s="61"/>
    </row>
    <row r="3" spans="1:11" s="60" customFormat="1">
      <c r="A3" s="61" t="s">
        <v>98</v>
      </c>
      <c r="B3" s="61"/>
      <c r="C3" s="61"/>
      <c r="D3" s="61"/>
    </row>
    <row r="4" spans="1:11" s="60" customFormat="1">
      <c r="A4" s="61" t="s">
        <v>99</v>
      </c>
      <c r="B4" s="61"/>
      <c r="C4" s="61"/>
      <c r="D4" s="61"/>
    </row>
    <row r="5" spans="1:11" s="60" customFormat="1">
      <c r="A5" s="61" t="s">
        <v>100</v>
      </c>
      <c r="B5" s="61"/>
      <c r="C5" s="61"/>
      <c r="D5" s="61"/>
    </row>
    <row r="6" spans="1:11">
      <c r="A6" s="78" t="s">
        <v>45</v>
      </c>
      <c r="B6" s="2"/>
      <c r="C6" s="2"/>
      <c r="D6" s="2"/>
    </row>
    <row r="7" spans="1:11">
      <c r="A7" s="188" t="s">
        <v>97</v>
      </c>
      <c r="B7" s="188"/>
      <c r="C7" s="2"/>
      <c r="D7" s="2"/>
    </row>
    <row r="8" spans="1:11">
      <c r="A8" s="28" t="s">
        <v>181</v>
      </c>
      <c r="B8" s="14"/>
    </row>
    <row r="9" spans="1:11" ht="52.5" customHeight="1">
      <c r="A9" s="189" t="s">
        <v>4</v>
      </c>
      <c r="B9" s="189" t="s">
        <v>46</v>
      </c>
      <c r="C9" s="191" t="s">
        <v>47</v>
      </c>
      <c r="D9" s="192"/>
      <c r="E9" s="185" t="s">
        <v>48</v>
      </c>
      <c r="F9" s="186"/>
      <c r="G9" s="185" t="s">
        <v>49</v>
      </c>
      <c r="H9" s="186"/>
      <c r="I9" s="187" t="s">
        <v>50</v>
      </c>
      <c r="J9" s="187" t="s">
        <v>51</v>
      </c>
      <c r="K9" s="15" t="s">
        <v>96</v>
      </c>
    </row>
    <row r="10" spans="1:11" ht="52.5" customHeight="1">
      <c r="A10" s="190"/>
      <c r="B10" s="190"/>
      <c r="C10" s="16" t="s">
        <v>52</v>
      </c>
      <c r="D10" s="79" t="s">
        <v>53</v>
      </c>
      <c r="E10" s="18" t="s">
        <v>54</v>
      </c>
      <c r="F10" s="18" t="s">
        <v>55</v>
      </c>
      <c r="G10" s="18" t="s">
        <v>56</v>
      </c>
      <c r="H10" s="18" t="s">
        <v>57</v>
      </c>
      <c r="I10" s="187"/>
      <c r="J10" s="187"/>
      <c r="K10" s="19" t="s">
        <v>33</v>
      </c>
    </row>
    <row r="11" spans="1:11">
      <c r="A11" s="5"/>
      <c r="B11" s="5"/>
      <c r="C11" s="5"/>
      <c r="D11" s="5"/>
      <c r="E11" s="5"/>
      <c r="F11" s="5"/>
      <c r="G11" s="5"/>
      <c r="H11" s="5"/>
      <c r="I11" s="20"/>
      <c r="J11" s="20">
        <f>(G11+H11)*I11</f>
        <v>0</v>
      </c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20"/>
      <c r="J12" s="20">
        <f t="shared" ref="J12:J13" si="0">(G12+H12)*I12</f>
        <v>0</v>
      </c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20"/>
      <c r="J13" s="20">
        <f t="shared" si="0"/>
        <v>0</v>
      </c>
      <c r="K13" s="5"/>
    </row>
  </sheetData>
  <mergeCells count="9">
    <mergeCell ref="G9:H9"/>
    <mergeCell ref="I9:I10"/>
    <mergeCell ref="J9:J10"/>
    <mergeCell ref="A1:D1"/>
    <mergeCell ref="A7:B7"/>
    <mergeCell ref="A9:A10"/>
    <mergeCell ref="B9:B10"/>
    <mergeCell ref="C9:D9"/>
    <mergeCell ref="E9:F9"/>
  </mergeCells>
  <pageMargins left="0.7" right="0.7" top="0.75" bottom="0.75" header="0.3" footer="0.3"/>
  <pageSetup scale="58" fitToHeight="0" orientation="landscape" horizontalDpi="0" verticalDpi="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K13"/>
  <sheetViews>
    <sheetView zoomScale="60" zoomScaleNormal="60" workbookViewId="0">
      <selection activeCell="H22" sqref="H22"/>
    </sheetView>
  </sheetViews>
  <sheetFormatPr defaultColWidth="9.109375" defaultRowHeight="24.6"/>
  <cols>
    <col min="1" max="1" width="6.109375" style="1" customWidth="1"/>
    <col min="2" max="2" width="54.44140625" style="1" customWidth="1"/>
    <col min="3" max="3" width="15.109375" style="1" customWidth="1"/>
    <col min="4" max="4" width="16.2187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21875" style="47" customWidth="1"/>
    <col min="10" max="10" width="13.6640625" style="47" customWidth="1"/>
    <col min="11" max="11" width="33.6640625" style="1" customWidth="1"/>
    <col min="12" max="16384" width="9.109375" style="1"/>
  </cols>
  <sheetData>
    <row r="1" spans="1:11">
      <c r="A1" s="178" t="s">
        <v>91</v>
      </c>
      <c r="B1" s="178"/>
      <c r="C1" s="178"/>
      <c r="D1" s="178"/>
    </row>
    <row r="2" spans="1:11" s="60" customFormat="1">
      <c r="A2" s="61" t="s">
        <v>0</v>
      </c>
      <c r="B2" s="61"/>
      <c r="C2" s="61"/>
      <c r="D2" s="61"/>
    </row>
    <row r="3" spans="1:11" s="60" customFormat="1">
      <c r="A3" s="61" t="s">
        <v>98</v>
      </c>
      <c r="B3" s="61"/>
      <c r="C3" s="61"/>
      <c r="D3" s="61"/>
    </row>
    <row r="4" spans="1:11" s="60" customFormat="1">
      <c r="A4" s="61" t="s">
        <v>99</v>
      </c>
      <c r="B4" s="61"/>
      <c r="C4" s="61"/>
      <c r="D4" s="61"/>
    </row>
    <row r="5" spans="1:11" s="60" customFormat="1">
      <c r="A5" s="61" t="s">
        <v>100</v>
      </c>
      <c r="B5" s="61"/>
      <c r="C5" s="61"/>
      <c r="D5" s="61"/>
    </row>
    <row r="6" spans="1:11">
      <c r="A6" s="78" t="s">
        <v>45</v>
      </c>
      <c r="B6" s="2"/>
      <c r="C6" s="2"/>
      <c r="D6" s="2"/>
    </row>
    <row r="7" spans="1:11">
      <c r="A7" s="188" t="s">
        <v>97</v>
      </c>
      <c r="B7" s="188"/>
      <c r="C7" s="2"/>
      <c r="D7" s="2"/>
    </row>
    <row r="8" spans="1:11">
      <c r="A8" s="28" t="s">
        <v>182</v>
      </c>
      <c r="B8" s="14"/>
    </row>
    <row r="9" spans="1:11" ht="52.5" customHeight="1">
      <c r="A9" s="189" t="s">
        <v>4</v>
      </c>
      <c r="B9" s="189" t="s">
        <v>46</v>
      </c>
      <c r="C9" s="191" t="s">
        <v>47</v>
      </c>
      <c r="D9" s="192"/>
      <c r="E9" s="185" t="s">
        <v>48</v>
      </c>
      <c r="F9" s="186"/>
      <c r="G9" s="185" t="s">
        <v>49</v>
      </c>
      <c r="H9" s="186"/>
      <c r="I9" s="187" t="s">
        <v>50</v>
      </c>
      <c r="J9" s="187" t="s">
        <v>51</v>
      </c>
      <c r="K9" s="15" t="s">
        <v>96</v>
      </c>
    </row>
    <row r="10" spans="1:11" ht="52.5" customHeight="1">
      <c r="A10" s="190"/>
      <c r="B10" s="190"/>
      <c r="C10" s="16" t="s">
        <v>52</v>
      </c>
      <c r="D10" s="79" t="s">
        <v>53</v>
      </c>
      <c r="E10" s="18" t="s">
        <v>54</v>
      </c>
      <c r="F10" s="18" t="s">
        <v>55</v>
      </c>
      <c r="G10" s="18" t="s">
        <v>56</v>
      </c>
      <c r="H10" s="18" t="s">
        <v>57</v>
      </c>
      <c r="I10" s="187"/>
      <c r="J10" s="187"/>
      <c r="K10" s="19" t="s">
        <v>33</v>
      </c>
    </row>
    <row r="11" spans="1:11">
      <c r="A11" s="5"/>
      <c r="B11" s="5"/>
      <c r="C11" s="5"/>
      <c r="D11" s="5"/>
      <c r="E11" s="5"/>
      <c r="F11" s="5"/>
      <c r="G11" s="5"/>
      <c r="H11" s="5"/>
      <c r="I11" s="20"/>
      <c r="J11" s="20">
        <f>(G11+H11)*I11</f>
        <v>0</v>
      </c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20"/>
      <c r="J12" s="20">
        <f t="shared" ref="J12:J13" si="0">(G12+H12)*I12</f>
        <v>0</v>
      </c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20"/>
      <c r="J13" s="20">
        <f t="shared" si="0"/>
        <v>0</v>
      </c>
      <c r="K13" s="5"/>
    </row>
  </sheetData>
  <mergeCells count="9">
    <mergeCell ref="G9:H9"/>
    <mergeCell ref="I9:I10"/>
    <mergeCell ref="J9:J10"/>
    <mergeCell ref="A1:D1"/>
    <mergeCell ref="A7:B7"/>
    <mergeCell ref="A9:A10"/>
    <mergeCell ref="B9:B10"/>
    <mergeCell ref="C9:D9"/>
    <mergeCell ref="E9:F9"/>
  </mergeCells>
  <pageMargins left="0.7" right="0.7" top="0.75" bottom="0.75" header="0.3" footer="0.3"/>
  <pageSetup scale="58" fitToHeight="0" orientation="landscape" horizontalDpi="0" verticalDpi="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K13"/>
  <sheetViews>
    <sheetView zoomScale="60" zoomScaleNormal="60" workbookViewId="0">
      <selection activeCell="H22" sqref="H22"/>
    </sheetView>
  </sheetViews>
  <sheetFormatPr defaultColWidth="9.109375" defaultRowHeight="24.6"/>
  <cols>
    <col min="1" max="1" width="6.109375" style="1" customWidth="1"/>
    <col min="2" max="2" width="54.44140625" style="1" customWidth="1"/>
    <col min="3" max="3" width="15.109375" style="1" customWidth="1"/>
    <col min="4" max="4" width="16.21875" style="1" customWidth="1"/>
    <col min="5" max="6" width="13.6640625" style="1" customWidth="1"/>
    <col min="7" max="7" width="13.5546875" style="1" customWidth="1"/>
    <col min="8" max="8" width="14.109375" style="1" customWidth="1"/>
    <col min="9" max="9" width="17.21875" style="47" customWidth="1"/>
    <col min="10" max="10" width="13.6640625" style="47" customWidth="1"/>
    <col min="11" max="11" width="33.6640625" style="1" customWidth="1"/>
    <col min="12" max="16384" width="9.109375" style="1"/>
  </cols>
  <sheetData>
    <row r="1" spans="1:11">
      <c r="A1" s="178" t="s">
        <v>91</v>
      </c>
      <c r="B1" s="178"/>
      <c r="C1" s="178"/>
      <c r="D1" s="178"/>
    </row>
    <row r="2" spans="1:11" s="60" customFormat="1">
      <c r="A2" s="61" t="s">
        <v>0</v>
      </c>
      <c r="B2" s="61"/>
      <c r="C2" s="61"/>
      <c r="D2" s="61"/>
    </row>
    <row r="3" spans="1:11" s="60" customFormat="1">
      <c r="A3" s="61" t="s">
        <v>98</v>
      </c>
      <c r="B3" s="61"/>
      <c r="C3" s="61"/>
      <c r="D3" s="61"/>
    </row>
    <row r="4" spans="1:11" s="60" customFormat="1">
      <c r="A4" s="61" t="s">
        <v>99</v>
      </c>
      <c r="B4" s="61"/>
      <c r="C4" s="61"/>
      <c r="D4" s="61"/>
    </row>
    <row r="5" spans="1:11" s="60" customFormat="1">
      <c r="A5" s="61" t="s">
        <v>100</v>
      </c>
      <c r="B5" s="61"/>
      <c r="C5" s="61"/>
      <c r="D5" s="61"/>
    </row>
    <row r="6" spans="1:11">
      <c r="A6" s="78" t="s">
        <v>45</v>
      </c>
      <c r="B6" s="2"/>
      <c r="C6" s="2"/>
      <c r="D6" s="2"/>
    </row>
    <row r="7" spans="1:11">
      <c r="A7" s="188" t="s">
        <v>97</v>
      </c>
      <c r="B7" s="188"/>
      <c r="C7" s="2"/>
      <c r="D7" s="2"/>
    </row>
    <row r="8" spans="1:11">
      <c r="A8" s="28" t="s">
        <v>84</v>
      </c>
      <c r="B8" s="14"/>
    </row>
    <row r="9" spans="1:11" ht="52.5" customHeight="1">
      <c r="A9" s="189" t="s">
        <v>4</v>
      </c>
      <c r="B9" s="189" t="s">
        <v>46</v>
      </c>
      <c r="C9" s="191" t="s">
        <v>47</v>
      </c>
      <c r="D9" s="192"/>
      <c r="E9" s="185" t="s">
        <v>48</v>
      </c>
      <c r="F9" s="186"/>
      <c r="G9" s="185" t="s">
        <v>49</v>
      </c>
      <c r="H9" s="186"/>
      <c r="I9" s="187" t="s">
        <v>50</v>
      </c>
      <c r="J9" s="187" t="s">
        <v>51</v>
      </c>
      <c r="K9" s="15" t="s">
        <v>96</v>
      </c>
    </row>
    <row r="10" spans="1:11" ht="52.5" customHeight="1">
      <c r="A10" s="190"/>
      <c r="B10" s="190"/>
      <c r="C10" s="16" t="s">
        <v>52</v>
      </c>
      <c r="D10" s="79" t="s">
        <v>53</v>
      </c>
      <c r="E10" s="18" t="s">
        <v>54</v>
      </c>
      <c r="F10" s="18" t="s">
        <v>55</v>
      </c>
      <c r="G10" s="18" t="s">
        <v>56</v>
      </c>
      <c r="H10" s="18" t="s">
        <v>57</v>
      </c>
      <c r="I10" s="187"/>
      <c r="J10" s="187"/>
      <c r="K10" s="19" t="s">
        <v>33</v>
      </c>
    </row>
    <row r="11" spans="1:11">
      <c r="A11" s="5"/>
      <c r="B11" s="5"/>
      <c r="C11" s="5"/>
      <c r="D11" s="5"/>
      <c r="E11" s="5"/>
      <c r="F11" s="5"/>
      <c r="G11" s="5"/>
      <c r="H11" s="5"/>
      <c r="I11" s="20"/>
      <c r="J11" s="20">
        <f>(G11+H11)*I11</f>
        <v>0</v>
      </c>
      <c r="K11" s="5"/>
    </row>
    <row r="12" spans="1:11">
      <c r="A12" s="5"/>
      <c r="B12" s="5"/>
      <c r="C12" s="5"/>
      <c r="D12" s="5"/>
      <c r="E12" s="5"/>
      <c r="F12" s="5"/>
      <c r="G12" s="5"/>
      <c r="H12" s="5"/>
      <c r="I12" s="20"/>
      <c r="J12" s="20">
        <f t="shared" ref="J12:J13" si="0">(G12+H12)*I12</f>
        <v>0</v>
      </c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20"/>
      <c r="J13" s="20">
        <f t="shared" si="0"/>
        <v>0</v>
      </c>
      <c r="K13" s="5"/>
    </row>
  </sheetData>
  <mergeCells count="9">
    <mergeCell ref="G9:H9"/>
    <mergeCell ref="I9:I10"/>
    <mergeCell ref="J9:J10"/>
    <mergeCell ref="A1:D1"/>
    <mergeCell ref="A7:B7"/>
    <mergeCell ref="A9:A10"/>
    <mergeCell ref="B9:B10"/>
    <mergeCell ref="C9:D9"/>
    <mergeCell ref="E9:F9"/>
  </mergeCells>
  <pageMargins left="0.7" right="0.7" top="0.75" bottom="0.75" header="0.3" footer="0.3"/>
  <pageSetup scale="58" fitToHeight="0" orientation="landscape" horizontalDpi="0" verticalDpi="0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D12"/>
  <sheetViews>
    <sheetView zoomScale="60" zoomScaleNormal="60" workbookViewId="0">
      <selection activeCell="F14" sqref="F14"/>
    </sheetView>
  </sheetViews>
  <sheetFormatPr defaultColWidth="9.109375" defaultRowHeight="24.6"/>
  <cols>
    <col min="1" max="1" width="6.109375" style="8" customWidth="1"/>
    <col min="2" max="2" width="37.21875" style="8" customWidth="1"/>
    <col min="3" max="3" width="44.109375" style="8" customWidth="1"/>
    <col min="4" max="4" width="15.109375" style="8" customWidth="1"/>
    <col min="5" max="5" width="18.6640625" style="8" customWidth="1"/>
    <col min="6" max="6" width="19.5546875" style="8" customWidth="1"/>
    <col min="7" max="7" width="17.21875" style="8" customWidth="1"/>
    <col min="8" max="8" width="13.6640625" style="8" customWidth="1"/>
    <col min="9" max="9" width="14.109375" style="8" customWidth="1"/>
    <col min="10" max="10" width="13.109375" style="8" customWidth="1"/>
    <col min="11" max="11" width="17.6640625" style="8" customWidth="1"/>
    <col min="12" max="12" width="33.6640625" style="8" customWidth="1"/>
    <col min="13" max="16384" width="9.109375" style="8"/>
  </cols>
  <sheetData>
    <row r="1" spans="1:4" s="1" customFormat="1">
      <c r="A1" s="178" t="s">
        <v>91</v>
      </c>
      <c r="B1" s="178"/>
      <c r="C1" s="178"/>
      <c r="D1" s="178"/>
    </row>
    <row r="2" spans="1:4" s="60" customFormat="1">
      <c r="A2" s="61" t="s">
        <v>0</v>
      </c>
      <c r="B2" s="61"/>
      <c r="C2" s="61"/>
      <c r="D2" s="61"/>
    </row>
    <row r="3" spans="1:4" s="60" customFormat="1">
      <c r="A3" s="61" t="s">
        <v>98</v>
      </c>
      <c r="B3" s="61"/>
      <c r="C3" s="61"/>
      <c r="D3" s="61"/>
    </row>
    <row r="4" spans="1:4" s="60" customFormat="1">
      <c r="A4" s="61" t="s">
        <v>99</v>
      </c>
      <c r="B4" s="61"/>
      <c r="C4" s="61"/>
      <c r="D4" s="61"/>
    </row>
    <row r="5" spans="1:4" s="60" customFormat="1">
      <c r="A5" s="61" t="s">
        <v>100</v>
      </c>
      <c r="B5" s="61"/>
      <c r="C5" s="61"/>
      <c r="D5" s="61"/>
    </row>
    <row r="6" spans="1:4" s="1" customFormat="1">
      <c r="A6" s="3" t="s">
        <v>45</v>
      </c>
      <c r="B6" s="2"/>
      <c r="C6" s="2"/>
      <c r="D6" s="2"/>
    </row>
    <row r="7" spans="1:4">
      <c r="A7" s="9" t="s">
        <v>59</v>
      </c>
      <c r="B7" s="21"/>
      <c r="C7" s="21"/>
    </row>
    <row r="8" spans="1:4">
      <c r="A8" s="29" t="s">
        <v>60</v>
      </c>
      <c r="B8" s="21"/>
      <c r="C8" s="21"/>
    </row>
    <row r="9" spans="1:4">
      <c r="A9" s="4" t="s">
        <v>4</v>
      </c>
      <c r="B9" s="4" t="s">
        <v>13</v>
      </c>
      <c r="C9" s="75" t="s">
        <v>159</v>
      </c>
      <c r="D9" s="7" t="s">
        <v>7</v>
      </c>
    </row>
    <row r="10" spans="1:4">
      <c r="A10" s="7"/>
      <c r="B10" s="7"/>
      <c r="C10" s="76"/>
      <c r="D10" s="7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</sheetData>
  <mergeCells count="1">
    <mergeCell ref="A1:D1"/>
  </mergeCells>
  <pageMargins left="0.7" right="0.7" top="0.75" bottom="0.75" header="0.3" footer="0.3"/>
  <pageSetup fitToHeight="0" orientation="landscape" horizontalDpi="0" verticalDpi="0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9"/>
  <sheetViews>
    <sheetView zoomScale="70" zoomScaleNormal="70" workbookViewId="0">
      <selection activeCell="E9" sqref="E9"/>
    </sheetView>
  </sheetViews>
  <sheetFormatPr defaultColWidth="9.109375" defaultRowHeight="24.6"/>
  <cols>
    <col min="1" max="1" width="6.109375" style="8" customWidth="1"/>
    <col min="2" max="2" width="54.44140625" style="8" customWidth="1"/>
    <col min="3" max="3" width="15.109375" style="8" customWidth="1"/>
    <col min="4" max="4" width="14.6640625" style="8" customWidth="1"/>
    <col min="5" max="5" width="18.6640625" style="8" customWidth="1"/>
    <col min="6" max="6" width="19.5546875" style="8" customWidth="1"/>
    <col min="7" max="7" width="17.21875" style="8" customWidth="1"/>
    <col min="8" max="8" width="13.6640625" style="8" customWidth="1"/>
    <col min="9" max="9" width="14.109375" style="8" customWidth="1"/>
    <col min="10" max="10" width="13.109375" style="8" customWidth="1"/>
    <col min="11" max="11" width="17.6640625" style="8" customWidth="1"/>
    <col min="12" max="12" width="33.6640625" style="8" customWidth="1"/>
    <col min="13" max="16384" width="9.109375" style="8"/>
  </cols>
  <sheetData>
    <row r="1" spans="1:4" s="60" customFormat="1">
      <c r="A1" s="184" t="s">
        <v>91</v>
      </c>
      <c r="B1" s="184"/>
      <c r="C1" s="184"/>
      <c r="D1" s="184"/>
    </row>
    <row r="2" spans="1:4" s="60" customFormat="1">
      <c r="A2" s="61" t="s">
        <v>0</v>
      </c>
      <c r="B2" s="61"/>
      <c r="C2" s="61"/>
      <c r="D2" s="61"/>
    </row>
    <row r="3" spans="1:4" s="60" customFormat="1">
      <c r="A3" s="61" t="s">
        <v>98</v>
      </c>
      <c r="B3" s="61"/>
      <c r="C3" s="61"/>
      <c r="D3" s="61"/>
    </row>
    <row r="4" spans="1:4" s="60" customFormat="1">
      <c r="A4" s="61" t="s">
        <v>99</v>
      </c>
      <c r="B4" s="61"/>
      <c r="C4" s="61"/>
      <c r="D4" s="61"/>
    </row>
    <row r="5" spans="1:4" s="60" customFormat="1">
      <c r="A5" s="61" t="s">
        <v>100</v>
      </c>
      <c r="B5" s="61"/>
      <c r="C5" s="61"/>
      <c r="D5" s="61"/>
    </row>
    <row r="6" spans="1:4" s="60" customFormat="1">
      <c r="A6" s="72" t="s">
        <v>183</v>
      </c>
      <c r="B6" s="61"/>
      <c r="C6" s="61"/>
      <c r="D6" s="61"/>
    </row>
    <row r="7" spans="1:4">
      <c r="A7" s="29" t="s">
        <v>184</v>
      </c>
      <c r="B7" s="21"/>
    </row>
    <row r="8" spans="1:4">
      <c r="A8" s="73" t="s">
        <v>4</v>
      </c>
      <c r="B8" s="73" t="s">
        <v>13</v>
      </c>
      <c r="C8" s="74" t="s">
        <v>7</v>
      </c>
      <c r="D8" s="74" t="s">
        <v>40</v>
      </c>
    </row>
    <row r="9" spans="1:4" ht="49.2">
      <c r="A9" s="74"/>
      <c r="B9" s="133" t="s">
        <v>184</v>
      </c>
      <c r="C9" s="74"/>
      <c r="D9" s="74"/>
    </row>
  </sheetData>
  <mergeCells count="1">
    <mergeCell ref="A1:D1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E10"/>
  <sheetViews>
    <sheetView zoomScale="70" zoomScaleNormal="70" workbookViewId="0">
      <selection activeCell="E8" sqref="E8"/>
    </sheetView>
  </sheetViews>
  <sheetFormatPr defaultColWidth="9.109375" defaultRowHeight="24.6"/>
  <cols>
    <col min="1" max="1" width="6.77734375" style="60" customWidth="1"/>
    <col min="2" max="2" width="25.109375" style="60" customWidth="1"/>
    <col min="3" max="3" width="14.44140625" style="60" customWidth="1"/>
    <col min="4" max="4" width="18.77734375" style="60" customWidth="1"/>
    <col min="5" max="5" width="20.21875" style="60" customWidth="1"/>
    <col min="6" max="6" width="7.88671875" style="60" customWidth="1"/>
    <col min="7" max="7" width="6.88671875" style="60" customWidth="1"/>
    <col min="8" max="8" width="6.21875" style="60" customWidth="1"/>
    <col min="9" max="9" width="7.5546875" style="60" customWidth="1"/>
    <col min="10" max="10" width="8.88671875" style="60" customWidth="1"/>
    <col min="11" max="13" width="9.109375" style="60"/>
    <col min="14" max="14" width="8.109375" style="60" customWidth="1"/>
    <col min="15" max="15" width="6.21875" style="60" customWidth="1"/>
    <col min="16" max="16" width="6" style="60" customWidth="1"/>
    <col min="17" max="17" width="11.6640625" style="60" customWidth="1"/>
    <col min="18" max="18" width="7.44140625" style="60" customWidth="1"/>
    <col min="19" max="19" width="8" style="60" customWidth="1"/>
    <col min="20" max="21" width="6.109375" style="60" customWidth="1"/>
    <col min="22" max="22" width="11.6640625" style="60" customWidth="1"/>
    <col min="23" max="23" width="9.109375" style="60"/>
    <col min="24" max="24" width="9" style="60" customWidth="1"/>
    <col min="25" max="26" width="7" style="60" customWidth="1"/>
    <col min="27" max="28" width="11.21875" style="60" customWidth="1"/>
    <col min="29" max="29" width="10.6640625" style="60" customWidth="1"/>
    <col min="30" max="16384" width="9.109375" style="60"/>
  </cols>
  <sheetData>
    <row r="1" spans="1:5">
      <c r="A1" s="184" t="s">
        <v>91</v>
      </c>
      <c r="B1" s="184"/>
      <c r="C1" s="184"/>
      <c r="D1" s="184"/>
      <c r="E1" s="184"/>
    </row>
    <row r="2" spans="1:5">
      <c r="A2" s="61" t="s">
        <v>0</v>
      </c>
      <c r="B2" s="61"/>
      <c r="C2" s="61"/>
      <c r="D2" s="61"/>
    </row>
    <row r="3" spans="1:5">
      <c r="A3" s="61" t="s">
        <v>98</v>
      </c>
      <c r="B3" s="61"/>
      <c r="C3" s="61"/>
      <c r="D3" s="61"/>
    </row>
    <row r="4" spans="1:5">
      <c r="A4" s="61" t="s">
        <v>99</v>
      </c>
      <c r="B4" s="61"/>
      <c r="C4" s="61"/>
      <c r="D4" s="61"/>
    </row>
    <row r="5" spans="1:5">
      <c r="A5" s="61" t="s">
        <v>100</v>
      </c>
      <c r="B5" s="61"/>
      <c r="C5" s="61"/>
      <c r="D5" s="61"/>
    </row>
    <row r="6" spans="1:5">
      <c r="A6" s="72" t="s">
        <v>61</v>
      </c>
      <c r="B6" s="61"/>
      <c r="C6" s="61"/>
      <c r="D6" s="61"/>
    </row>
    <row r="7" spans="1:5" s="8" customFormat="1">
      <c r="A7" s="29" t="s">
        <v>185</v>
      </c>
      <c r="B7" s="21"/>
    </row>
    <row r="8" spans="1:5">
      <c r="A8" s="134" t="s">
        <v>4</v>
      </c>
      <c r="B8" s="134" t="s">
        <v>186</v>
      </c>
      <c r="C8" s="134" t="s">
        <v>187</v>
      </c>
      <c r="D8" s="134" t="s">
        <v>155</v>
      </c>
      <c r="E8" s="134" t="s">
        <v>156</v>
      </c>
    </row>
    <row r="9" spans="1:5">
      <c r="A9" s="65"/>
      <c r="B9" s="65"/>
      <c r="C9" s="65"/>
      <c r="D9" s="65"/>
      <c r="E9" s="65"/>
    </row>
    <row r="10" spans="1:5">
      <c r="A10" s="65"/>
      <c r="B10" s="65"/>
      <c r="C10" s="65"/>
      <c r="D10" s="65"/>
      <c r="E10" s="65"/>
    </row>
  </sheetData>
  <mergeCells count="1">
    <mergeCell ref="A1:E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0"/>
  <sheetViews>
    <sheetView zoomScale="60" zoomScaleNormal="60" workbookViewId="0">
      <selection activeCell="E8" sqref="E8"/>
    </sheetView>
  </sheetViews>
  <sheetFormatPr defaultColWidth="9.109375" defaultRowHeight="24.6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2187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2187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21875" style="1" customWidth="1"/>
    <col min="27" max="27" width="10.6640625" style="1" customWidth="1"/>
    <col min="28" max="16384" width="9.109375" style="1"/>
  </cols>
  <sheetData>
    <row r="1" spans="1:5">
      <c r="A1" s="178" t="s">
        <v>91</v>
      </c>
      <c r="B1" s="178"/>
      <c r="C1" s="178"/>
      <c r="D1" s="178"/>
      <c r="E1" s="178"/>
    </row>
    <row r="2" spans="1:5" s="60" customFormat="1">
      <c r="A2" s="61" t="s">
        <v>0</v>
      </c>
      <c r="B2" s="61"/>
      <c r="C2" s="61"/>
      <c r="D2" s="61"/>
    </row>
    <row r="3" spans="1:5" s="60" customFormat="1">
      <c r="A3" s="61" t="s">
        <v>98</v>
      </c>
      <c r="B3" s="61"/>
      <c r="C3" s="61"/>
      <c r="D3" s="61"/>
    </row>
    <row r="4" spans="1:5" s="60" customFormat="1">
      <c r="A4" s="61" t="s">
        <v>99</v>
      </c>
      <c r="B4" s="61"/>
      <c r="C4" s="61"/>
      <c r="D4" s="61"/>
    </row>
    <row r="5" spans="1:5" s="60" customFormat="1">
      <c r="A5" s="61" t="s">
        <v>100</v>
      </c>
      <c r="B5" s="61"/>
      <c r="C5" s="61"/>
      <c r="D5" s="61"/>
    </row>
    <row r="6" spans="1:5">
      <c r="A6" s="3" t="s">
        <v>61</v>
      </c>
      <c r="B6" s="2"/>
      <c r="C6" s="2"/>
    </row>
    <row r="7" spans="1:5" s="8" customFormat="1">
      <c r="A7" s="29" t="s">
        <v>63</v>
      </c>
      <c r="B7" s="21"/>
    </row>
    <row r="8" spans="1:5">
      <c r="A8" s="22" t="s">
        <v>4</v>
      </c>
      <c r="B8" s="22" t="s">
        <v>62</v>
      </c>
      <c r="C8" s="22" t="s">
        <v>7</v>
      </c>
    </row>
    <row r="9" spans="1:5">
      <c r="A9" s="5"/>
      <c r="B9" s="5"/>
      <c r="C9" s="5"/>
    </row>
    <row r="10" spans="1:5">
      <c r="A10" s="5"/>
      <c r="B10" s="5"/>
      <c r="C10" s="5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0"/>
  <sheetViews>
    <sheetView zoomScale="60" zoomScaleNormal="60" workbookViewId="0">
      <selection activeCell="E8" sqref="E8"/>
    </sheetView>
  </sheetViews>
  <sheetFormatPr defaultColWidth="9.109375" defaultRowHeight="24.6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2187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2187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21875" style="1" customWidth="1"/>
    <col min="27" max="27" width="10.6640625" style="1" customWidth="1"/>
    <col min="28" max="16384" width="9.109375" style="1"/>
  </cols>
  <sheetData>
    <row r="1" spans="1:5">
      <c r="A1" s="178" t="s">
        <v>91</v>
      </c>
      <c r="B1" s="178"/>
      <c r="C1" s="178"/>
      <c r="D1" s="178"/>
      <c r="E1" s="178"/>
    </row>
    <row r="2" spans="1:5" s="60" customFormat="1">
      <c r="A2" s="61" t="s">
        <v>0</v>
      </c>
      <c r="B2" s="61"/>
      <c r="C2" s="61"/>
      <c r="D2" s="61"/>
    </row>
    <row r="3" spans="1:5" s="60" customFormat="1">
      <c r="A3" s="61" t="s">
        <v>98</v>
      </c>
      <c r="B3" s="61"/>
      <c r="C3" s="61"/>
      <c r="D3" s="61"/>
    </row>
    <row r="4" spans="1:5" s="60" customFormat="1">
      <c r="A4" s="61" t="s">
        <v>99</v>
      </c>
      <c r="B4" s="61"/>
      <c r="C4" s="61"/>
      <c r="D4" s="61"/>
    </row>
    <row r="5" spans="1:5" s="60" customFormat="1">
      <c r="A5" s="61" t="s">
        <v>100</v>
      </c>
      <c r="B5" s="61"/>
      <c r="C5" s="61"/>
      <c r="D5" s="61"/>
    </row>
    <row r="6" spans="1:5">
      <c r="A6" s="3" t="s">
        <v>61</v>
      </c>
      <c r="B6" s="2"/>
      <c r="C6" s="2"/>
    </row>
    <row r="7" spans="1:5" s="8" customFormat="1">
      <c r="A7" s="29" t="s">
        <v>75</v>
      </c>
      <c r="B7" s="21"/>
    </row>
    <row r="8" spans="1:5">
      <c r="A8" s="22" t="s">
        <v>4</v>
      </c>
      <c r="B8" s="22" t="s">
        <v>62</v>
      </c>
      <c r="C8" s="22" t="s">
        <v>7</v>
      </c>
    </row>
    <row r="9" spans="1:5">
      <c r="A9" s="5"/>
      <c r="B9" s="5"/>
      <c r="C9" s="5"/>
    </row>
    <row r="10" spans="1:5">
      <c r="A10" s="5"/>
      <c r="B10" s="5"/>
      <c r="C10" s="5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0"/>
  <sheetViews>
    <sheetView zoomScale="60" zoomScaleNormal="60" workbookViewId="0">
      <selection activeCell="I27" sqref="I27"/>
    </sheetView>
  </sheetViews>
  <sheetFormatPr defaultColWidth="9.109375" defaultRowHeight="24.6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2187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2187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21875" style="1" customWidth="1"/>
    <col min="27" max="27" width="10.6640625" style="1" customWidth="1"/>
    <col min="28" max="16384" width="9.109375" style="1"/>
  </cols>
  <sheetData>
    <row r="1" spans="1:5">
      <c r="A1" s="178" t="s">
        <v>91</v>
      </c>
      <c r="B1" s="178"/>
      <c r="C1" s="178"/>
      <c r="D1" s="178"/>
      <c r="E1" s="178"/>
    </row>
    <row r="2" spans="1:5">
      <c r="A2" s="2" t="s">
        <v>0</v>
      </c>
      <c r="B2" s="2"/>
      <c r="C2" s="2"/>
    </row>
    <row r="3" spans="1:5" s="60" customFormat="1">
      <c r="A3" s="61" t="s">
        <v>98</v>
      </c>
      <c r="B3" s="61"/>
      <c r="C3" s="61"/>
      <c r="D3" s="61"/>
    </row>
    <row r="4" spans="1:5" s="60" customFormat="1">
      <c r="A4" s="61" t="s">
        <v>99</v>
      </c>
      <c r="B4" s="61"/>
      <c r="C4" s="61"/>
      <c r="D4" s="61"/>
    </row>
    <row r="5" spans="1:5" s="60" customFormat="1">
      <c r="A5" s="61" t="s">
        <v>100</v>
      </c>
      <c r="B5" s="61"/>
      <c r="C5" s="61"/>
      <c r="D5" s="61"/>
    </row>
    <row r="6" spans="1:5">
      <c r="A6" s="3" t="s">
        <v>61</v>
      </c>
      <c r="B6" s="2"/>
      <c r="C6" s="2"/>
    </row>
    <row r="7" spans="1:5" s="8" customFormat="1">
      <c r="A7" s="29" t="s">
        <v>64</v>
      </c>
      <c r="B7" s="21"/>
    </row>
    <row r="8" spans="1:5">
      <c r="A8" s="22" t="s">
        <v>4</v>
      </c>
      <c r="B8" s="22" t="s">
        <v>62</v>
      </c>
      <c r="C8" s="22" t="s">
        <v>7</v>
      </c>
    </row>
    <row r="9" spans="1:5">
      <c r="A9" s="5"/>
      <c r="B9" s="5"/>
      <c r="C9" s="5"/>
    </row>
    <row r="10" spans="1:5">
      <c r="A10" s="5"/>
      <c r="B10" s="5"/>
      <c r="C10" s="5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0"/>
  <sheetViews>
    <sheetView zoomScale="60" zoomScaleNormal="60" workbookViewId="0">
      <selection activeCell="I27" sqref="I27"/>
    </sheetView>
  </sheetViews>
  <sheetFormatPr defaultColWidth="9.109375" defaultRowHeight="24.6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2187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2187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21875" style="1" customWidth="1"/>
    <col min="27" max="27" width="10.6640625" style="1" customWidth="1"/>
    <col min="28" max="16384" width="9.109375" style="1"/>
  </cols>
  <sheetData>
    <row r="1" spans="1:5">
      <c r="A1" s="178" t="s">
        <v>91</v>
      </c>
      <c r="B1" s="178"/>
      <c r="C1" s="178"/>
      <c r="D1" s="178"/>
      <c r="E1" s="178"/>
    </row>
    <row r="2" spans="1:5">
      <c r="A2" s="2" t="s">
        <v>0</v>
      </c>
      <c r="B2" s="2"/>
      <c r="C2" s="2"/>
    </row>
    <row r="3" spans="1:5" s="60" customFormat="1">
      <c r="A3" s="61" t="s">
        <v>98</v>
      </c>
      <c r="B3" s="61"/>
      <c r="C3" s="61"/>
      <c r="D3" s="61"/>
    </row>
    <row r="4" spans="1:5" s="60" customFormat="1">
      <c r="A4" s="61" t="s">
        <v>99</v>
      </c>
      <c r="B4" s="61"/>
      <c r="C4" s="61"/>
      <c r="D4" s="61"/>
    </row>
    <row r="5" spans="1:5" s="60" customFormat="1">
      <c r="A5" s="61" t="s">
        <v>100</v>
      </c>
      <c r="B5" s="61"/>
      <c r="C5" s="61"/>
      <c r="D5" s="61"/>
    </row>
    <row r="6" spans="1:5">
      <c r="A6" s="3" t="s">
        <v>61</v>
      </c>
      <c r="B6" s="2"/>
      <c r="C6" s="2"/>
    </row>
    <row r="7" spans="1:5" s="8" customFormat="1">
      <c r="A7" s="29" t="s">
        <v>65</v>
      </c>
      <c r="B7" s="21"/>
    </row>
    <row r="8" spans="1:5">
      <c r="A8" s="22" t="s">
        <v>4</v>
      </c>
      <c r="B8" s="22" t="s">
        <v>62</v>
      </c>
      <c r="C8" s="22" t="s">
        <v>7</v>
      </c>
    </row>
    <row r="9" spans="1:5">
      <c r="A9" s="5"/>
      <c r="B9" s="5"/>
      <c r="C9" s="5"/>
    </row>
    <row r="10" spans="1:5">
      <c r="A10" s="5"/>
      <c r="B10" s="5"/>
      <c r="C10" s="5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9"/>
  <sheetViews>
    <sheetView zoomScale="70" zoomScaleNormal="70" workbookViewId="0">
      <selection activeCell="I27" sqref="I27"/>
    </sheetView>
  </sheetViews>
  <sheetFormatPr defaultColWidth="9.109375" defaultRowHeight="24.6"/>
  <cols>
    <col min="1" max="1" width="9.109375" style="1" customWidth="1"/>
    <col min="2" max="2" width="50.5546875" style="1" customWidth="1"/>
    <col min="3" max="3" width="14.5546875" style="1" customWidth="1"/>
    <col min="4" max="4" width="16.21875" style="1" customWidth="1"/>
    <col min="5" max="5" width="15.44140625" style="1" customWidth="1"/>
    <col min="6" max="6" width="6.2187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2187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21875" style="1" customWidth="1"/>
    <col min="27" max="27" width="10.6640625" style="1" customWidth="1"/>
    <col min="28" max="16384" width="9.109375" style="1"/>
  </cols>
  <sheetData>
    <row r="1" spans="1:5">
      <c r="A1" s="178" t="s">
        <v>91</v>
      </c>
      <c r="B1" s="178"/>
      <c r="C1" s="178"/>
      <c r="D1" s="178"/>
      <c r="E1" s="178"/>
    </row>
    <row r="2" spans="1:5">
      <c r="A2" s="2" t="s">
        <v>0</v>
      </c>
      <c r="B2" s="2"/>
      <c r="C2" s="2"/>
    </row>
    <row r="3" spans="1:5" s="60" customFormat="1">
      <c r="A3" s="61" t="s">
        <v>98</v>
      </c>
      <c r="B3" s="61"/>
      <c r="C3" s="61"/>
      <c r="D3" s="61"/>
    </row>
    <row r="4" spans="1:5" s="60" customFormat="1">
      <c r="A4" s="61" t="s">
        <v>99</v>
      </c>
      <c r="B4" s="61"/>
      <c r="C4" s="61"/>
      <c r="D4" s="61"/>
    </row>
    <row r="5" spans="1:5" s="60" customFormat="1">
      <c r="A5" s="61" t="s">
        <v>100</v>
      </c>
      <c r="B5" s="61"/>
      <c r="C5" s="61"/>
      <c r="D5" s="61"/>
    </row>
    <row r="6" spans="1:5">
      <c r="A6" s="23" t="s">
        <v>61</v>
      </c>
      <c r="B6" s="2"/>
      <c r="C6" s="2"/>
    </row>
    <row r="7" spans="1:5" s="8" customFormat="1">
      <c r="A7" s="29" t="s">
        <v>66</v>
      </c>
      <c r="B7" s="21"/>
    </row>
    <row r="8" spans="1:5">
      <c r="A8" s="76" t="s">
        <v>4</v>
      </c>
      <c r="B8" s="76" t="s">
        <v>62</v>
      </c>
      <c r="C8" s="76" t="s">
        <v>188</v>
      </c>
      <c r="D8" s="76" t="s">
        <v>189</v>
      </c>
      <c r="E8" s="76" t="s">
        <v>190</v>
      </c>
    </row>
    <row r="9" spans="1:5">
      <c r="A9" s="5"/>
      <c r="B9" s="5" t="s">
        <v>191</v>
      </c>
      <c r="C9" s="5"/>
      <c r="D9" s="5"/>
      <c r="E9" s="5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D9"/>
  <sheetViews>
    <sheetView zoomScale="70" zoomScaleNormal="70" workbookViewId="0">
      <selection activeCell="D24" sqref="D24"/>
    </sheetView>
  </sheetViews>
  <sheetFormatPr defaultColWidth="9.109375" defaultRowHeight="24.6"/>
  <cols>
    <col min="1" max="1" width="6.109375" style="8" customWidth="1"/>
    <col min="2" max="2" width="54.44140625" style="8" customWidth="1"/>
    <col min="3" max="3" width="15.109375" style="8" customWidth="1"/>
    <col min="4" max="4" width="14.6640625" style="8" customWidth="1"/>
    <col min="5" max="5" width="18.6640625" style="8" customWidth="1"/>
    <col min="6" max="6" width="19.5546875" style="8" customWidth="1"/>
    <col min="7" max="7" width="17.21875" style="8" customWidth="1"/>
    <col min="8" max="8" width="13.6640625" style="8" customWidth="1"/>
    <col min="9" max="9" width="14.109375" style="8" customWidth="1"/>
    <col min="10" max="10" width="13.109375" style="8" customWidth="1"/>
    <col min="11" max="11" width="17.6640625" style="8" customWidth="1"/>
    <col min="12" max="12" width="33.6640625" style="8" customWidth="1"/>
    <col min="13" max="16384" width="9.109375" style="8"/>
  </cols>
  <sheetData>
    <row r="1" spans="1:4" s="60" customFormat="1">
      <c r="A1" s="184" t="s">
        <v>91</v>
      </c>
      <c r="B1" s="184"/>
      <c r="C1" s="184"/>
      <c r="D1" s="184"/>
    </row>
    <row r="2" spans="1:4" s="60" customFormat="1">
      <c r="A2" s="61" t="s">
        <v>0</v>
      </c>
      <c r="B2" s="61"/>
      <c r="C2" s="61"/>
      <c r="D2" s="61"/>
    </row>
    <row r="3" spans="1:4" s="60" customFormat="1">
      <c r="A3" s="61" t="s">
        <v>98</v>
      </c>
      <c r="B3" s="61"/>
      <c r="C3" s="61"/>
      <c r="D3" s="61"/>
    </row>
    <row r="4" spans="1:4" s="60" customFormat="1">
      <c r="A4" s="61" t="s">
        <v>99</v>
      </c>
      <c r="B4" s="61"/>
      <c r="C4" s="61"/>
      <c r="D4" s="61"/>
    </row>
    <row r="5" spans="1:4" s="60" customFormat="1">
      <c r="A5" s="61" t="s">
        <v>100</v>
      </c>
      <c r="B5" s="61"/>
      <c r="C5" s="61"/>
      <c r="D5" s="61"/>
    </row>
    <row r="6" spans="1:4" s="60" customFormat="1">
      <c r="A6" s="72" t="s">
        <v>61</v>
      </c>
      <c r="B6" s="61"/>
      <c r="C6" s="61"/>
      <c r="D6" s="61"/>
    </row>
    <row r="7" spans="1:4">
      <c r="A7" s="29" t="s">
        <v>192</v>
      </c>
      <c r="B7" s="21"/>
    </row>
    <row r="8" spans="1:4">
      <c r="A8" s="73" t="s">
        <v>4</v>
      </c>
      <c r="B8" s="73" t="s">
        <v>13</v>
      </c>
      <c r="C8" s="74" t="s">
        <v>7</v>
      </c>
      <c r="D8" s="74" t="s">
        <v>40</v>
      </c>
    </row>
    <row r="9" spans="1:4">
      <c r="A9" s="74"/>
      <c r="B9" s="81" t="s">
        <v>193</v>
      </c>
      <c r="C9" s="74"/>
      <c r="D9" s="74"/>
    </row>
  </sheetData>
  <mergeCells count="1">
    <mergeCell ref="A1:D1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A1:E10"/>
  <sheetViews>
    <sheetView zoomScale="70" zoomScaleNormal="70" workbookViewId="0">
      <selection activeCell="D24" sqref="D24"/>
    </sheetView>
  </sheetViews>
  <sheetFormatPr defaultColWidth="9.109375" defaultRowHeight="24.6"/>
  <cols>
    <col min="1" max="1" width="9.109375" style="1" customWidth="1"/>
    <col min="2" max="2" width="50.5546875" style="1" customWidth="1"/>
    <col min="3" max="3" width="14.5546875" style="1" customWidth="1"/>
    <col min="4" max="4" width="7.88671875" style="1" customWidth="1"/>
    <col min="5" max="5" width="6.88671875" style="1" customWidth="1"/>
    <col min="6" max="6" width="6.21875" style="1" customWidth="1"/>
    <col min="7" max="7" width="7.5546875" style="1" customWidth="1"/>
    <col min="8" max="8" width="8.88671875" style="1" customWidth="1"/>
    <col min="9" max="9" width="9.109375" style="1" customWidth="1"/>
    <col min="10" max="11" width="9.109375" style="1"/>
    <col min="12" max="12" width="8.109375" style="1" customWidth="1"/>
    <col min="13" max="13" width="6.21875" style="1" customWidth="1"/>
    <col min="14" max="14" width="6" style="1" customWidth="1"/>
    <col min="15" max="15" width="11.6640625" style="1" customWidth="1"/>
    <col min="16" max="16" width="7.44140625" style="1" customWidth="1"/>
    <col min="17" max="17" width="8" style="1" customWidth="1"/>
    <col min="18" max="19" width="6.109375" style="1" customWidth="1"/>
    <col min="20" max="20" width="11.6640625" style="1" customWidth="1"/>
    <col min="21" max="21" width="9.109375" style="1" customWidth="1"/>
    <col min="22" max="22" width="9" style="1" customWidth="1"/>
    <col min="23" max="24" width="7" style="1" customWidth="1"/>
    <col min="25" max="26" width="11.21875" style="1" customWidth="1"/>
    <col min="27" max="27" width="10.6640625" style="1" customWidth="1"/>
    <col min="28" max="16384" width="9.109375" style="1"/>
  </cols>
  <sheetData>
    <row r="1" spans="1:5">
      <c r="A1" s="178" t="s">
        <v>91</v>
      </c>
      <c r="B1" s="178"/>
      <c r="C1" s="178"/>
      <c r="D1" s="178"/>
      <c r="E1" s="178"/>
    </row>
    <row r="2" spans="1:5" s="60" customFormat="1">
      <c r="A2" s="61" t="s">
        <v>98</v>
      </c>
      <c r="B2" s="61"/>
      <c r="C2" s="61"/>
      <c r="D2" s="61"/>
    </row>
    <row r="3" spans="1:5" s="60" customFormat="1">
      <c r="A3" s="61" t="s">
        <v>99</v>
      </c>
      <c r="B3" s="61"/>
      <c r="C3" s="61"/>
      <c r="D3" s="61"/>
    </row>
    <row r="4" spans="1:5" s="60" customFormat="1">
      <c r="A4" s="61" t="s">
        <v>100</v>
      </c>
      <c r="B4" s="61"/>
      <c r="C4" s="61"/>
      <c r="D4" s="61"/>
    </row>
    <row r="5" spans="1:5" s="60" customFormat="1">
      <c r="A5" s="72" t="s">
        <v>61</v>
      </c>
      <c r="B5" s="61"/>
      <c r="C5" s="61"/>
      <c r="D5" s="61"/>
    </row>
    <row r="6" spans="1:5">
      <c r="A6" s="2" t="s">
        <v>0</v>
      </c>
      <c r="B6" s="2"/>
      <c r="C6" s="2"/>
    </row>
    <row r="7" spans="1:5" s="8" customFormat="1">
      <c r="A7" s="29" t="s">
        <v>82</v>
      </c>
      <c r="B7" s="21"/>
    </row>
    <row r="8" spans="1:5">
      <c r="A8" s="76" t="s">
        <v>4</v>
      </c>
      <c r="B8" s="76" t="s">
        <v>62</v>
      </c>
      <c r="C8" s="76" t="s">
        <v>7</v>
      </c>
    </row>
    <row r="9" spans="1:5">
      <c r="A9" s="5"/>
      <c r="B9" s="5"/>
      <c r="C9" s="5"/>
    </row>
    <row r="10" spans="1:5">
      <c r="A10" s="5"/>
      <c r="B10" s="5"/>
      <c r="C10" s="5"/>
    </row>
  </sheetData>
  <mergeCells count="1">
    <mergeCell ref="A1:E1"/>
  </mergeCells>
  <pageMargins left="0.7" right="0.7" top="0.75" bottom="0.75" header="0.3" footer="0.3"/>
  <pageSetup fitToHeight="0" orientation="landscape" horizontalDpi="0" verticalDpi="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abSelected="1" zoomScale="70" zoomScaleNormal="70" workbookViewId="0">
      <selection activeCell="G8" sqref="G8"/>
    </sheetView>
  </sheetViews>
  <sheetFormatPr defaultColWidth="9.109375" defaultRowHeight="24.6"/>
  <cols>
    <col min="1" max="1" width="59.44140625" style="60" customWidth="1"/>
    <col min="2" max="2" width="22.21875" style="60" customWidth="1"/>
    <col min="3" max="4" width="25.21875" style="60" customWidth="1"/>
    <col min="5" max="7" width="24.33203125" style="60" customWidth="1"/>
    <col min="8" max="8" width="22.109375" style="60" customWidth="1"/>
    <col min="9" max="10" width="5.109375" style="60" customWidth="1"/>
    <col min="11" max="11" width="7.6640625" style="60" customWidth="1"/>
    <col min="12" max="12" width="7.88671875" style="60" customWidth="1"/>
    <col min="13" max="13" width="6.88671875" style="60" customWidth="1"/>
    <col min="14" max="14" width="6.21875" style="60" customWidth="1"/>
    <col min="15" max="15" width="7.5546875" style="60" customWidth="1"/>
    <col min="16" max="16" width="8.88671875" style="60" customWidth="1"/>
    <col min="17" max="19" width="9.109375" style="60"/>
    <col min="20" max="20" width="8.109375" style="60" customWidth="1"/>
    <col min="21" max="21" width="6.21875" style="60" customWidth="1"/>
    <col min="22" max="22" width="6" style="60" customWidth="1"/>
    <col min="23" max="23" width="11.6640625" style="60" customWidth="1"/>
    <col min="24" max="24" width="7.44140625" style="60" customWidth="1"/>
    <col min="25" max="25" width="8" style="60" customWidth="1"/>
    <col min="26" max="27" width="6.109375" style="60" customWidth="1"/>
    <col min="28" max="28" width="11.6640625" style="60" customWidth="1"/>
    <col min="29" max="29" width="9.109375" style="60"/>
    <col min="30" max="30" width="9" style="60" customWidth="1"/>
    <col min="31" max="32" width="7" style="60" customWidth="1"/>
    <col min="33" max="34" width="11.21875" style="60" customWidth="1"/>
    <col min="35" max="35" width="10.6640625" style="60" customWidth="1"/>
    <col min="36" max="16384" width="9.109375" style="60"/>
  </cols>
  <sheetData>
    <row r="1" spans="1:11">
      <c r="A1" s="184" t="s">
        <v>91</v>
      </c>
      <c r="B1" s="184"/>
      <c r="C1" s="184"/>
      <c r="D1" s="184"/>
      <c r="E1" s="184"/>
      <c r="F1" s="184"/>
      <c r="G1" s="184"/>
      <c r="H1" s="184"/>
      <c r="I1" s="61"/>
      <c r="J1" s="61"/>
      <c r="K1" s="61"/>
    </row>
    <row r="2" spans="1:11">
      <c r="A2" s="61" t="s">
        <v>0</v>
      </c>
      <c r="B2" s="61"/>
      <c r="C2" s="61"/>
      <c r="D2" s="61"/>
      <c r="E2" s="61"/>
      <c r="F2" s="61"/>
      <c r="G2" s="61"/>
      <c r="H2" s="61"/>
      <c r="I2" s="61"/>
      <c r="J2" s="61"/>
    </row>
    <row r="3" spans="1:11">
      <c r="A3" s="61" t="s">
        <v>98</v>
      </c>
      <c r="B3" s="61"/>
      <c r="C3" s="61"/>
      <c r="D3" s="61"/>
      <c r="E3" s="61"/>
      <c r="F3" s="61"/>
      <c r="G3" s="61"/>
      <c r="H3" s="61"/>
      <c r="I3" s="61"/>
      <c r="J3" s="61"/>
    </row>
    <row r="4" spans="1:11">
      <c r="A4" s="61" t="s">
        <v>99</v>
      </c>
      <c r="B4" s="61"/>
      <c r="C4" s="61"/>
      <c r="D4" s="61"/>
      <c r="E4" s="61"/>
      <c r="F4" s="61"/>
      <c r="G4" s="61"/>
      <c r="H4" s="61"/>
      <c r="I4" s="61"/>
      <c r="J4" s="61"/>
    </row>
    <row r="5" spans="1:11">
      <c r="A5" s="61" t="s">
        <v>100</v>
      </c>
      <c r="B5" s="61"/>
      <c r="C5" s="61"/>
      <c r="D5" s="61"/>
      <c r="E5" s="61"/>
      <c r="F5" s="61"/>
      <c r="G5" s="61"/>
      <c r="H5" s="61"/>
      <c r="I5" s="61"/>
      <c r="J5" s="61"/>
    </row>
    <row r="6" spans="1:11">
      <c r="A6" s="135" t="s">
        <v>61</v>
      </c>
      <c r="B6" s="135"/>
      <c r="C6" s="135"/>
      <c r="D6" s="135"/>
      <c r="E6" s="135"/>
      <c r="F6" s="135"/>
      <c r="G6" s="135"/>
      <c r="H6" s="61"/>
      <c r="I6" s="61"/>
      <c r="J6" s="61"/>
    </row>
    <row r="7" spans="1:11">
      <c r="A7" s="167" t="s">
        <v>197</v>
      </c>
      <c r="B7" s="167" t="s">
        <v>225</v>
      </c>
      <c r="C7" s="167" t="s">
        <v>226</v>
      </c>
      <c r="D7" s="167" t="s">
        <v>227</v>
      </c>
      <c r="E7" s="167" t="s">
        <v>228</v>
      </c>
      <c r="F7" s="167" t="s">
        <v>229</v>
      </c>
      <c r="G7" s="167"/>
      <c r="H7" s="165" t="s">
        <v>7</v>
      </c>
      <c r="I7" s="61"/>
      <c r="J7" s="61"/>
    </row>
    <row r="8" spans="1:11">
      <c r="A8" s="167"/>
      <c r="B8" s="167"/>
      <c r="C8" s="167"/>
      <c r="D8" s="167"/>
      <c r="E8" s="167"/>
      <c r="F8" s="136" t="s">
        <v>230</v>
      </c>
      <c r="G8" s="136" t="s">
        <v>231</v>
      </c>
      <c r="H8" s="166"/>
    </row>
    <row r="9" spans="1:11">
      <c r="A9" s="148" t="s">
        <v>196</v>
      </c>
      <c r="B9" s="148"/>
      <c r="C9" s="148"/>
      <c r="D9" s="148"/>
      <c r="E9" s="148"/>
      <c r="F9" s="148"/>
      <c r="G9" s="148"/>
      <c r="H9" s="136"/>
    </row>
    <row r="10" spans="1:11">
      <c r="A10" s="141" t="s">
        <v>220</v>
      </c>
      <c r="B10" s="141"/>
      <c r="C10" s="141"/>
      <c r="D10" s="141"/>
      <c r="E10" s="141"/>
      <c r="F10" s="141"/>
      <c r="G10" s="141"/>
      <c r="H10" s="65"/>
    </row>
    <row r="11" spans="1:11">
      <c r="A11" s="6" t="s">
        <v>198</v>
      </c>
      <c r="B11" s="6"/>
      <c r="C11" s="6"/>
      <c r="D11" s="6"/>
      <c r="E11" s="6"/>
      <c r="F11" s="6"/>
      <c r="G11" s="6"/>
      <c r="H11" s="65"/>
    </row>
    <row r="12" spans="1:11">
      <c r="A12" s="137" t="s">
        <v>199</v>
      </c>
      <c r="B12" s="137"/>
      <c r="C12" s="137"/>
      <c r="D12" s="137"/>
      <c r="E12" s="137"/>
      <c r="F12" s="137"/>
      <c r="G12" s="137"/>
      <c r="H12" s="65"/>
    </row>
    <row r="13" spans="1:11">
      <c r="A13" s="5" t="s">
        <v>200</v>
      </c>
      <c r="B13" s="5"/>
      <c r="C13" s="5"/>
      <c r="D13" s="5"/>
      <c r="E13" s="5"/>
      <c r="F13" s="5"/>
      <c r="G13" s="5"/>
      <c r="H13" s="65"/>
    </row>
    <row r="14" spans="1:11">
      <c r="A14" s="5" t="s">
        <v>201</v>
      </c>
      <c r="B14" s="5"/>
      <c r="C14" s="5"/>
      <c r="D14" s="5"/>
      <c r="E14" s="5"/>
      <c r="F14" s="5"/>
      <c r="G14" s="5"/>
      <c r="H14" s="65"/>
    </row>
    <row r="15" spans="1:11">
      <c r="A15" s="5" t="s">
        <v>14</v>
      </c>
      <c r="B15" s="5"/>
      <c r="C15" s="5"/>
      <c r="D15" s="5"/>
      <c r="E15" s="5"/>
      <c r="F15" s="5"/>
      <c r="G15" s="5"/>
      <c r="H15" s="65"/>
    </row>
    <row r="16" spans="1:11">
      <c r="A16" s="5" t="s">
        <v>202</v>
      </c>
      <c r="B16" s="5"/>
      <c r="C16" s="5"/>
      <c r="D16" s="5"/>
      <c r="E16" s="5"/>
      <c r="F16" s="5"/>
      <c r="G16" s="5"/>
      <c r="H16" s="65"/>
    </row>
    <row r="17" spans="1:8">
      <c r="A17" s="137" t="s">
        <v>12</v>
      </c>
      <c r="B17" s="137"/>
      <c r="C17" s="137"/>
      <c r="D17" s="137"/>
      <c r="E17" s="137"/>
      <c r="F17" s="137"/>
      <c r="G17" s="137"/>
      <c r="H17" s="65"/>
    </row>
    <row r="18" spans="1:8">
      <c r="A18" s="5" t="s">
        <v>203</v>
      </c>
      <c r="B18" s="5"/>
      <c r="C18" s="5"/>
      <c r="D18" s="5"/>
      <c r="E18" s="5"/>
      <c r="F18" s="5"/>
      <c r="G18" s="5"/>
      <c r="H18" s="65"/>
    </row>
    <row r="19" spans="1:8">
      <c r="A19" s="5" t="s">
        <v>28</v>
      </c>
      <c r="B19" s="5"/>
      <c r="C19" s="5"/>
      <c r="D19" s="5"/>
      <c r="E19" s="5"/>
      <c r="F19" s="5"/>
      <c r="G19" s="5"/>
      <c r="H19" s="65"/>
    </row>
    <row r="20" spans="1:8">
      <c r="A20" s="5" t="s">
        <v>204</v>
      </c>
      <c r="B20" s="5"/>
      <c r="C20" s="5"/>
      <c r="D20" s="5"/>
      <c r="E20" s="5"/>
      <c r="F20" s="5"/>
      <c r="G20" s="5"/>
      <c r="H20" s="65"/>
    </row>
    <row r="21" spans="1:8">
      <c r="A21" s="5" t="s">
        <v>205</v>
      </c>
      <c r="B21" s="5"/>
      <c r="C21" s="5"/>
      <c r="D21" s="5"/>
      <c r="E21" s="5"/>
      <c r="F21" s="5"/>
      <c r="G21" s="5"/>
      <c r="H21" s="65"/>
    </row>
    <row r="22" spans="1:8">
      <c r="A22" s="5" t="s">
        <v>120</v>
      </c>
      <c r="B22" s="5"/>
      <c r="C22" s="5"/>
      <c r="D22" s="5"/>
      <c r="E22" s="5"/>
      <c r="F22" s="5"/>
      <c r="G22" s="5"/>
      <c r="H22" s="65"/>
    </row>
    <row r="23" spans="1:8">
      <c r="A23" s="5" t="s">
        <v>206</v>
      </c>
      <c r="B23" s="5"/>
      <c r="C23" s="5"/>
      <c r="D23" s="5"/>
      <c r="E23" s="5"/>
      <c r="F23" s="5"/>
      <c r="G23" s="5"/>
      <c r="H23" s="65"/>
    </row>
    <row r="24" spans="1:8">
      <c r="A24" s="5" t="s">
        <v>207</v>
      </c>
      <c r="B24" s="5"/>
      <c r="C24" s="5"/>
      <c r="D24" s="5"/>
      <c r="E24" s="5"/>
      <c r="F24" s="5"/>
      <c r="G24" s="5"/>
      <c r="H24" s="65"/>
    </row>
    <row r="25" spans="1:8">
      <c r="A25" s="5" t="s">
        <v>153</v>
      </c>
      <c r="B25" s="5"/>
      <c r="C25" s="5"/>
      <c r="D25" s="5"/>
      <c r="E25" s="5"/>
      <c r="F25" s="5"/>
      <c r="G25" s="5"/>
      <c r="H25" s="65"/>
    </row>
    <row r="26" spans="1:8">
      <c r="A26" s="5" t="s">
        <v>157</v>
      </c>
      <c r="B26" s="5"/>
      <c r="C26" s="5"/>
      <c r="D26" s="5"/>
      <c r="E26" s="5"/>
      <c r="F26" s="5"/>
      <c r="G26" s="5"/>
      <c r="H26" s="65"/>
    </row>
    <row r="27" spans="1:8">
      <c r="A27" s="5" t="s">
        <v>208</v>
      </c>
      <c r="B27" s="5"/>
      <c r="C27" s="5"/>
      <c r="D27" s="5"/>
      <c r="E27" s="5"/>
      <c r="F27" s="5"/>
      <c r="G27" s="5"/>
      <c r="H27" s="65"/>
    </row>
    <row r="28" spans="1:8">
      <c r="A28" s="137" t="s">
        <v>41</v>
      </c>
      <c r="B28" s="137"/>
      <c r="C28" s="137"/>
      <c r="D28" s="137"/>
      <c r="E28" s="137"/>
      <c r="F28" s="137"/>
      <c r="G28" s="137"/>
      <c r="H28" s="65"/>
    </row>
    <row r="29" spans="1:8">
      <c r="A29" s="5" t="s">
        <v>42</v>
      </c>
      <c r="B29" s="5"/>
      <c r="C29" s="5"/>
      <c r="D29" s="5"/>
      <c r="E29" s="5"/>
      <c r="F29" s="5"/>
      <c r="G29" s="5"/>
      <c r="H29" s="65"/>
    </row>
    <row r="30" spans="1:8">
      <c r="A30" s="5" t="s">
        <v>169</v>
      </c>
      <c r="B30" s="5"/>
      <c r="C30" s="5"/>
      <c r="D30" s="5"/>
      <c r="E30" s="5"/>
      <c r="F30" s="5"/>
      <c r="G30" s="5"/>
      <c r="H30" s="65"/>
    </row>
    <row r="31" spans="1:8">
      <c r="A31" s="5" t="s">
        <v>43</v>
      </c>
      <c r="B31" s="5"/>
      <c r="C31" s="5"/>
      <c r="D31" s="5"/>
      <c r="E31" s="5"/>
      <c r="F31" s="5"/>
      <c r="G31" s="5"/>
      <c r="H31" s="65"/>
    </row>
    <row r="32" spans="1:8">
      <c r="A32" s="5" t="s">
        <v>209</v>
      </c>
      <c r="B32" s="5"/>
      <c r="C32" s="5"/>
      <c r="D32" s="5"/>
      <c r="E32" s="5"/>
      <c r="F32" s="5"/>
      <c r="G32" s="5"/>
      <c r="H32" s="65"/>
    </row>
    <row r="33" spans="1:8">
      <c r="A33" s="5" t="s">
        <v>210</v>
      </c>
      <c r="B33" s="5"/>
      <c r="C33" s="5"/>
      <c r="D33" s="5"/>
      <c r="E33" s="5"/>
      <c r="F33" s="5"/>
      <c r="G33" s="5"/>
      <c r="H33" s="65"/>
    </row>
    <row r="34" spans="1:8">
      <c r="A34" s="5" t="s">
        <v>211</v>
      </c>
      <c r="B34" s="5"/>
      <c r="C34" s="5"/>
      <c r="D34" s="5"/>
      <c r="E34" s="5"/>
      <c r="F34" s="5"/>
      <c r="G34" s="5"/>
      <c r="H34" s="65"/>
    </row>
    <row r="35" spans="1:8">
      <c r="A35" s="137" t="s">
        <v>212</v>
      </c>
      <c r="B35" s="137"/>
      <c r="C35" s="137"/>
      <c r="D35" s="137"/>
      <c r="E35" s="137"/>
      <c r="F35" s="137"/>
      <c r="G35" s="137"/>
      <c r="H35" s="65"/>
    </row>
    <row r="36" spans="1:8">
      <c r="A36" s="5" t="s">
        <v>176</v>
      </c>
      <c r="B36" s="5"/>
      <c r="C36" s="5"/>
      <c r="D36" s="5"/>
      <c r="E36" s="5"/>
      <c r="F36" s="5"/>
      <c r="G36" s="5"/>
      <c r="H36" s="65"/>
    </row>
    <row r="37" spans="1:8">
      <c r="A37" s="5" t="s">
        <v>213</v>
      </c>
      <c r="B37" s="5"/>
      <c r="C37" s="5"/>
      <c r="D37" s="5"/>
      <c r="E37" s="5"/>
      <c r="F37" s="5"/>
      <c r="G37" s="5"/>
      <c r="H37" s="65"/>
    </row>
    <row r="38" spans="1:8">
      <c r="A38" s="5" t="s">
        <v>214</v>
      </c>
      <c r="B38" s="5"/>
      <c r="C38" s="5"/>
      <c r="D38" s="5"/>
      <c r="E38" s="5"/>
      <c r="F38" s="5"/>
      <c r="G38" s="5"/>
      <c r="H38" s="65"/>
    </row>
    <row r="39" spans="1:8">
      <c r="A39" s="5" t="s">
        <v>215</v>
      </c>
      <c r="B39" s="5"/>
      <c r="C39" s="5"/>
      <c r="D39" s="5"/>
      <c r="E39" s="5"/>
      <c r="F39" s="5"/>
      <c r="G39" s="5"/>
      <c r="H39" s="65"/>
    </row>
    <row r="40" spans="1:8" ht="49.2">
      <c r="A40" s="149" t="s">
        <v>221</v>
      </c>
      <c r="B40" s="149"/>
      <c r="C40" s="149"/>
      <c r="D40" s="149"/>
      <c r="E40" s="149"/>
      <c r="F40" s="149"/>
      <c r="G40" s="149"/>
      <c r="H40" s="65"/>
    </row>
    <row r="41" spans="1:8">
      <c r="A41" s="140" t="s">
        <v>222</v>
      </c>
      <c r="B41" s="140"/>
      <c r="C41" s="140"/>
      <c r="D41" s="140"/>
      <c r="E41" s="140"/>
      <c r="F41" s="140"/>
      <c r="G41" s="140"/>
      <c r="H41" s="65"/>
    </row>
    <row r="42" spans="1:8">
      <c r="A42" s="5" t="s">
        <v>216</v>
      </c>
      <c r="B42" s="5"/>
      <c r="C42" s="5"/>
      <c r="D42" s="5"/>
      <c r="E42" s="5"/>
      <c r="F42" s="5"/>
      <c r="G42" s="5"/>
      <c r="H42" s="65"/>
    </row>
    <row r="43" spans="1:8">
      <c r="A43" s="5" t="s">
        <v>217</v>
      </c>
      <c r="B43" s="5"/>
      <c r="C43" s="5"/>
      <c r="D43" s="5"/>
      <c r="E43" s="5"/>
      <c r="F43" s="5"/>
      <c r="G43" s="5"/>
      <c r="H43" s="65"/>
    </row>
    <row r="44" spans="1:8">
      <c r="A44" s="5" t="s">
        <v>218</v>
      </c>
      <c r="B44" s="5"/>
      <c r="C44" s="5"/>
      <c r="D44" s="5"/>
      <c r="E44" s="5"/>
      <c r="F44" s="5"/>
      <c r="G44" s="5"/>
      <c r="H44" s="65"/>
    </row>
    <row r="45" spans="1:8">
      <c r="A45" s="140" t="s">
        <v>223</v>
      </c>
      <c r="B45" s="140"/>
      <c r="C45" s="140"/>
      <c r="D45" s="140"/>
      <c r="E45" s="140"/>
      <c r="F45" s="140"/>
      <c r="G45" s="140"/>
      <c r="H45" s="65"/>
    </row>
    <row r="46" spans="1:8">
      <c r="A46" s="5" t="s">
        <v>219</v>
      </c>
      <c r="B46" s="5"/>
      <c r="C46" s="5"/>
      <c r="D46" s="5"/>
      <c r="E46" s="5"/>
      <c r="F46" s="5"/>
      <c r="G46" s="5"/>
      <c r="H46" s="65"/>
    </row>
    <row r="47" spans="1:8">
      <c r="A47" s="5" t="s">
        <v>139</v>
      </c>
      <c r="B47" s="5"/>
      <c r="C47" s="5"/>
      <c r="D47" s="5"/>
      <c r="E47" s="5"/>
      <c r="F47" s="5"/>
      <c r="G47" s="5"/>
      <c r="H47" s="65"/>
    </row>
    <row r="48" spans="1:8" ht="49.2">
      <c r="A48" s="150" t="s">
        <v>224</v>
      </c>
      <c r="B48" s="150"/>
      <c r="C48" s="150"/>
      <c r="D48" s="150"/>
      <c r="E48" s="150"/>
      <c r="F48" s="150"/>
      <c r="G48" s="150"/>
      <c r="H48" s="65"/>
    </row>
    <row r="49" spans="1:8">
      <c r="A49" s="6" t="s">
        <v>198</v>
      </c>
      <c r="B49" s="6"/>
      <c r="C49" s="6"/>
      <c r="D49" s="6"/>
      <c r="E49" s="6"/>
      <c r="F49" s="6"/>
      <c r="G49" s="6"/>
      <c r="H49" s="65"/>
    </row>
    <row r="50" spans="1:8">
      <c r="A50" s="137" t="s">
        <v>12</v>
      </c>
      <c r="B50" s="137"/>
      <c r="C50" s="137"/>
      <c r="D50" s="137"/>
      <c r="E50" s="137"/>
      <c r="F50" s="137"/>
      <c r="G50" s="137"/>
      <c r="H50" s="65"/>
    </row>
    <row r="51" spans="1:8">
      <c r="A51" s="5" t="s">
        <v>206</v>
      </c>
      <c r="B51" s="5"/>
      <c r="C51" s="5"/>
      <c r="D51" s="5"/>
      <c r="E51" s="5"/>
      <c r="F51" s="5"/>
      <c r="G51" s="5"/>
      <c r="H51" s="65"/>
    </row>
    <row r="52" spans="1:8">
      <c r="A52" s="5" t="s">
        <v>139</v>
      </c>
      <c r="B52" s="5"/>
      <c r="C52" s="5"/>
      <c r="D52" s="5"/>
      <c r="E52" s="5"/>
      <c r="F52" s="5"/>
      <c r="G52" s="5"/>
      <c r="H52" s="65"/>
    </row>
    <row r="53" spans="1:8">
      <c r="A53" s="13" t="s">
        <v>9</v>
      </c>
      <c r="B53" s="13"/>
      <c r="C53" s="13"/>
      <c r="D53" s="13"/>
      <c r="E53" s="13"/>
      <c r="F53" s="13"/>
      <c r="G53" s="13"/>
      <c r="H53" s="65"/>
    </row>
    <row r="54" spans="1:8">
      <c r="A54" s="1"/>
      <c r="B54" s="1"/>
      <c r="C54" s="1"/>
      <c r="D54" s="1"/>
      <c r="E54" s="1"/>
      <c r="F54" s="1"/>
      <c r="G54" s="1"/>
    </row>
    <row r="55" spans="1:8">
      <c r="A55" s="1"/>
      <c r="B55" s="1"/>
      <c r="C55" s="1"/>
      <c r="D55" s="1"/>
      <c r="E55" s="1"/>
      <c r="F55" s="1"/>
      <c r="G55" s="1"/>
    </row>
    <row r="56" spans="1:8">
      <c r="A56" s="1"/>
      <c r="B56" s="1"/>
      <c r="C56" s="1"/>
      <c r="D56" s="1"/>
      <c r="E56" s="1"/>
      <c r="F56" s="1"/>
      <c r="G56" s="1"/>
    </row>
    <row r="57" spans="1:8">
      <c r="A57" s="1"/>
      <c r="B57" s="1"/>
      <c r="C57" s="1"/>
      <c r="D57" s="1"/>
      <c r="E57" s="1"/>
      <c r="F57" s="1"/>
      <c r="G57" s="1"/>
    </row>
    <row r="58" spans="1:8">
      <c r="A58" s="1"/>
      <c r="B58" s="1"/>
      <c r="C58" s="1"/>
      <c r="D58" s="1"/>
      <c r="E58" s="1"/>
      <c r="F58" s="1"/>
      <c r="G58" s="1"/>
    </row>
    <row r="59" spans="1:8">
      <c r="A59" s="1"/>
      <c r="B59" s="1"/>
      <c r="C59" s="1"/>
      <c r="D59" s="1"/>
      <c r="E59" s="1"/>
      <c r="F59" s="1"/>
      <c r="G59" s="1"/>
    </row>
    <row r="60" spans="1:8">
      <c r="A60" s="1"/>
      <c r="B60" s="1"/>
      <c r="C60" s="1"/>
      <c r="D60" s="1"/>
      <c r="E60" s="1"/>
      <c r="F60" s="1"/>
      <c r="G60" s="1"/>
    </row>
    <row r="61" spans="1:8">
      <c r="A61" s="1"/>
      <c r="B61" s="1"/>
      <c r="C61" s="1"/>
      <c r="D61" s="1"/>
      <c r="E61" s="1"/>
      <c r="F61" s="1"/>
      <c r="G61" s="1"/>
    </row>
    <row r="62" spans="1:8">
      <c r="A62" s="1"/>
      <c r="B62" s="1"/>
      <c r="C62" s="1"/>
      <c r="D62" s="1"/>
      <c r="E62" s="1"/>
      <c r="F62" s="1"/>
      <c r="G62" s="1"/>
    </row>
    <row r="63" spans="1:8">
      <c r="A63" s="1"/>
      <c r="B63" s="1"/>
      <c r="C63" s="1"/>
      <c r="D63" s="1"/>
      <c r="E63" s="1"/>
      <c r="F63" s="1"/>
      <c r="G63" s="1"/>
    </row>
  </sheetData>
  <mergeCells count="8">
    <mergeCell ref="H7:H8"/>
    <mergeCell ref="A1:H1"/>
    <mergeCell ref="F7:G7"/>
    <mergeCell ref="A7:A8"/>
    <mergeCell ref="B7:B8"/>
    <mergeCell ref="C7:C8"/>
    <mergeCell ref="D7:D8"/>
    <mergeCell ref="E7:E8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Sheet1</vt:lpstr>
      <vt:lpstr>ค่าเช่าบ้าน</vt:lpstr>
      <vt:lpstr>สปพ</vt:lpstr>
      <vt:lpstr>นอกเวลา</vt:lpstr>
      <vt:lpstr>รถประตำแหน่ง </vt:lpstr>
      <vt:lpstr>เงินสมทบประกันสังคม </vt:lpstr>
      <vt:lpstr>เงินกองทุนทดแทน</vt:lpstr>
      <vt:lpstr>ค่าเบี้ยเลี้ยง</vt:lpstr>
      <vt:lpstr>ยานพาหนะ</vt:lpstr>
      <vt:lpstr>ภาคใต้</vt:lpstr>
      <vt:lpstr>อุตสาหกรรม</vt:lpstr>
      <vt:lpstr>ค่าเบี้ยประชุม</vt:lpstr>
      <vt:lpstr>เกษียณ</vt:lpstr>
      <vt:lpstr>ครุภัณฑ์ </vt:lpstr>
      <vt:lpstr>สิ่งก่อสร้าง </vt:lpstr>
      <vt:lpstr>ค่าเช่าทรัพย์สิน</vt:lpstr>
      <vt:lpstr>เหมาบริการ</vt:lpstr>
      <vt:lpstr>ค่าจำกัดปลวก</vt:lpstr>
      <vt:lpstr>MA</vt:lpstr>
      <vt:lpstr>แสตมป์</vt:lpstr>
      <vt:lpstr>ค่าจ้างเหมาบริการอื่นๆ </vt:lpstr>
      <vt:lpstr>อบรมสัมมา</vt:lpstr>
      <vt:lpstr>โฆษณาและเผยแพร่</vt:lpstr>
      <vt:lpstr>เครื่องปรับอากาศ</vt:lpstr>
      <vt:lpstr>ค่าใช้สอยอื่นๆ </vt:lpstr>
      <vt:lpstr>ค่าธรรมเนียมศาล</vt:lpstr>
      <vt:lpstr>วัสดุสำนักงาน</vt:lpstr>
      <vt:lpstr>วัสดุเชื้อเพลิง</vt:lpstr>
      <vt:lpstr>วัสดุไฟฟ้า </vt:lpstr>
      <vt:lpstr>วัสดุวิทยาศาสตร์ </vt:lpstr>
      <vt:lpstr>วัสดุคอมพิวเตอร์</vt:lpstr>
      <vt:lpstr>วัสดุยานพาหนะ</vt:lpstr>
      <vt:lpstr>วัสดุอื่นๆ</vt:lpstr>
      <vt:lpstr>ค่าสาธารณูปโภค</vt:lpstr>
      <vt:lpstr> ครุภัณ์ สนง </vt:lpstr>
      <vt:lpstr> ครุภัณ์คอม</vt:lpstr>
      <vt:lpstr> ครุภัณ์ยาน</vt:lpstr>
      <vt:lpstr> ครุภัณ์วิทย์</vt:lpstr>
      <vt:lpstr> ครุภัณ์อื่นๆ</vt:lpstr>
      <vt:lpstr>สิ่งก่อสร้าง</vt:lpstr>
      <vt:lpstr>อุดหนุน</vt:lpstr>
      <vt:lpstr>พิมแสตม</vt:lpstr>
      <vt:lpstr>ประชุมต่างประเทศ</vt:lpstr>
      <vt:lpstr>อบรมต่างประเทศประเทศ</vt:lpstr>
      <vt:lpstr>จ้างที่ปรึกษา</vt:lpstr>
      <vt:lpstr>ทุนการศึกษา</vt:lpstr>
      <vt:lpstr>การตรวจสุขภาพ (ลูกจ้างชั่วคราว)</vt:lpstr>
      <vt:lpstr>ถอนคืนค่าปรับ</vt:lpstr>
      <vt:lpstr>การคลัง</vt:lpstr>
      <vt:lpstr>ปิโตรเลียม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Bally</dc:creator>
  <cp:lastModifiedBy>takky -</cp:lastModifiedBy>
  <cp:lastPrinted>2021-08-01T03:14:25Z</cp:lastPrinted>
  <dcterms:created xsi:type="dcterms:W3CDTF">2020-04-02T09:24:37Z</dcterms:created>
  <dcterms:modified xsi:type="dcterms:W3CDTF">2021-08-10T17:11:29Z</dcterms:modified>
</cp:coreProperties>
</file>