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Document\เอกสารการออกแบบระบบ\"/>
    </mc:Choice>
  </mc:AlternateContent>
  <bookViews>
    <workbookView xWindow="-96" yWindow="-96" windowWidth="19392" windowHeight="1039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H5" i="1" l="1"/>
  <c r="H6" i="1"/>
  <c r="H7" i="1"/>
  <c r="G5" i="1"/>
  <c r="G6" i="1"/>
  <c r="G7" i="1"/>
  <c r="F5" i="1"/>
  <c r="F7" i="1"/>
  <c r="E5" i="1"/>
  <c r="E6" i="1"/>
  <c r="F6" i="1" s="1"/>
  <c r="E7" i="1"/>
  <c r="H4" i="1"/>
  <c r="F4" i="1"/>
  <c r="E4" i="1"/>
</calcChain>
</file>

<file path=xl/sharedStrings.xml><?xml version="1.0" encoding="utf-8"?>
<sst xmlns="http://schemas.openxmlformats.org/spreadsheetml/2006/main" count="35" uniqueCount="33">
  <si>
    <t>ลำดับ</t>
  </si>
  <si>
    <t>ประเภทรายได้ภาษี</t>
  </si>
  <si>
    <t>ในประเทศ</t>
  </si>
  <si>
    <t>นำเข้า</t>
  </si>
  <si>
    <t>รวม</t>
  </si>
  <si>
    <t>ภาษีเพื่อมหาดไทย ร้อยละ 10</t>
  </si>
  <si>
    <t>เงินค่าใช้จ่ายท้องถิ่น</t>
  </si>
  <si>
    <t>c+d</t>
  </si>
  <si>
    <t>คิดการช่อง e</t>
  </si>
  <si>
    <t>d*10%*5%*98%</t>
  </si>
  <si>
    <t>c*10%*5%</t>
  </si>
  <si>
    <t>น้ำมันฯ</t>
  </si>
  <si>
    <t>รถยนต์</t>
  </si>
  <si>
    <t>เบียร์</t>
  </si>
  <si>
    <t>สุรา</t>
  </si>
  <si>
    <t>ยาสูบ</t>
  </si>
  <si>
    <t>เครื่องดื่ม</t>
  </si>
  <si>
    <t>เครื่องไฟฟ้า</t>
  </si>
  <si>
    <t>รถจักรยานยนต์</t>
  </si>
  <si>
    <t>แบตเตอรี่</t>
  </si>
  <si>
    <t>สนามกอล์ฟ</t>
  </si>
  <si>
    <t>สถานอาบ อบ นวด</t>
  </si>
  <si>
    <t>น้ำหอม</t>
  </si>
  <si>
    <t>สนามมม้า</t>
  </si>
  <si>
    <t>ไนท์คลับและดิสโกเทค</t>
  </si>
  <si>
    <t>แก้วและเครื่องแก้ว</t>
  </si>
  <si>
    <t>ไพ่ฯ</t>
  </si>
  <si>
    <t>พรม</t>
  </si>
  <si>
    <t>ภาษีสาร cfc</t>
  </si>
  <si>
    <t>ภาษีโทรคมนาคม</t>
  </si>
  <si>
    <t>รายได้เบ็ดเล็ด</t>
  </si>
  <si>
    <t>รวมทั้งสิ้น</t>
  </si>
  <si>
    <t>หน้าจอเพิ่ม การประมาณการรายได้ จากการเก็บภาษี ในแต่ละปี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</si>
</sst>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sz val="16"/>
      <color rgb="FFFF0000"/>
      <name val="Angsana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43" fontId="2" fillId="0" borderId="1" xfId="1" applyFont="1" applyBorder="1" applyAlignment="1">
      <alignment horizontal="center" vertical="top"/>
    </xf>
    <xf numFmtId="43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zoomScale="80" zoomScaleNormal="80" workbookViewId="0">
      <selection activeCell="N6" sqref="N6"/>
    </sheetView>
  </sheetViews>
  <sheetFormatPr defaultRowHeight="23.4" x14ac:dyDescent="0.3"/>
  <cols>
    <col min="1" max="1" width="7.5546875" style="1" customWidth="1"/>
    <col min="2" max="2" width="19.77734375" style="1" customWidth="1"/>
    <col min="3" max="3" width="11.5546875" style="1" customWidth="1"/>
    <col min="4" max="4" width="11.77734375" style="1" customWidth="1"/>
    <col min="5" max="5" width="12.109375" style="1" customWidth="1"/>
    <col min="6" max="7" width="15.109375" style="1" customWidth="1"/>
    <col min="8" max="8" width="17.44140625" style="1" customWidth="1"/>
    <col min="9" max="16384" width="8.88671875" style="1"/>
  </cols>
  <sheetData>
    <row r="1" spans="1:14" x14ac:dyDescent="0.3">
      <c r="A1" s="2"/>
      <c r="B1" s="2"/>
      <c r="C1" s="2"/>
      <c r="D1" s="2"/>
      <c r="E1" s="2" t="s">
        <v>7</v>
      </c>
      <c r="F1" s="2" t="s">
        <v>8</v>
      </c>
      <c r="G1" s="2" t="s">
        <v>10</v>
      </c>
      <c r="H1" s="2" t="s">
        <v>9</v>
      </c>
    </row>
    <row r="2" spans="1:14" ht="26.1" customHeight="1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6" t="s">
        <v>6</v>
      </c>
      <c r="H2" s="6"/>
    </row>
    <row r="3" spans="1:14" ht="21.9" customHeight="1" x14ac:dyDescent="0.3">
      <c r="A3" s="6"/>
      <c r="B3" s="6"/>
      <c r="C3" s="6"/>
      <c r="D3" s="6"/>
      <c r="E3" s="6"/>
      <c r="F3" s="7"/>
      <c r="G3" s="3" t="s">
        <v>2</v>
      </c>
      <c r="H3" s="3" t="s">
        <v>3</v>
      </c>
    </row>
    <row r="4" spans="1:14" x14ac:dyDescent="0.3">
      <c r="A4" s="3">
        <v>1</v>
      </c>
      <c r="B4" s="3" t="s">
        <v>11</v>
      </c>
      <c r="C4" s="4">
        <v>234197.45</v>
      </c>
      <c r="D4" s="4">
        <v>19802.55</v>
      </c>
      <c r="E4" s="5">
        <f>C4+D4</f>
        <v>254000</v>
      </c>
      <c r="F4" s="5">
        <f>E4*10/100</f>
        <v>25400</v>
      </c>
      <c r="G4" s="5">
        <f>C4*10/100*5/100</f>
        <v>1170.9872499999999</v>
      </c>
      <c r="H4" s="5">
        <f>D4*10/100*5/100*98/100</f>
        <v>97.032495000000011</v>
      </c>
    </row>
    <row r="5" spans="1:14" x14ac:dyDescent="0.3">
      <c r="A5" s="3">
        <v>2</v>
      </c>
      <c r="B5" s="3" t="s">
        <v>12</v>
      </c>
      <c r="C5" s="3">
        <v>56410.84</v>
      </c>
      <c r="D5" s="3">
        <v>63589.16</v>
      </c>
      <c r="E5" s="5">
        <f t="shared" ref="E5:E7" si="0">C5+D5</f>
        <v>120000</v>
      </c>
      <c r="F5" s="5">
        <f t="shared" ref="F5:F7" si="1">E5*10/100</f>
        <v>12000</v>
      </c>
      <c r="G5" s="5">
        <f t="shared" ref="G5:G7" si="2">C5*10/100*5/100</f>
        <v>282.05419999999992</v>
      </c>
      <c r="H5" s="5">
        <f t="shared" ref="H5:H7" si="3">D5*10/100*5/100*98/100</f>
        <v>311.58688400000005</v>
      </c>
    </row>
    <row r="6" spans="1:14" x14ac:dyDescent="0.3">
      <c r="A6" s="3">
        <v>3</v>
      </c>
      <c r="B6" s="3" t="s">
        <v>13</v>
      </c>
      <c r="C6" s="3">
        <v>86544.29</v>
      </c>
      <c r="D6" s="3">
        <v>755.71</v>
      </c>
      <c r="E6" s="5">
        <f t="shared" si="0"/>
        <v>87300</v>
      </c>
      <c r="F6" s="5">
        <f t="shared" si="1"/>
        <v>8730</v>
      </c>
      <c r="G6" s="5">
        <f t="shared" si="2"/>
        <v>432.72144999999989</v>
      </c>
      <c r="H6" s="5">
        <f t="shared" si="3"/>
        <v>3.7029790000000005</v>
      </c>
      <c r="N6" s="1" t="s">
        <v>32</v>
      </c>
    </row>
    <row r="7" spans="1:14" x14ac:dyDescent="0.3">
      <c r="A7" s="3">
        <v>4</v>
      </c>
      <c r="B7" s="3" t="s">
        <v>14</v>
      </c>
      <c r="C7" s="3"/>
      <c r="D7" s="3"/>
      <c r="E7" s="5">
        <f t="shared" si="0"/>
        <v>0</v>
      </c>
      <c r="F7" s="5">
        <f t="shared" si="1"/>
        <v>0</v>
      </c>
      <c r="G7" s="5">
        <f t="shared" si="2"/>
        <v>0</v>
      </c>
      <c r="H7" s="5">
        <f t="shared" si="3"/>
        <v>0</v>
      </c>
    </row>
    <row r="8" spans="1:14" x14ac:dyDescent="0.3">
      <c r="A8" s="3">
        <v>5</v>
      </c>
      <c r="B8" s="3" t="s">
        <v>15</v>
      </c>
      <c r="C8" s="3"/>
      <c r="D8" s="3"/>
      <c r="E8" s="3"/>
      <c r="F8" s="3"/>
      <c r="G8" s="3"/>
      <c r="H8" s="3"/>
    </row>
    <row r="9" spans="1:14" x14ac:dyDescent="0.3">
      <c r="A9" s="3">
        <v>6</v>
      </c>
      <c r="B9" s="3" t="s">
        <v>16</v>
      </c>
      <c r="C9" s="3"/>
      <c r="D9" s="3"/>
      <c r="E9" s="3"/>
      <c r="F9" s="3"/>
      <c r="G9" s="3"/>
      <c r="H9" s="3"/>
    </row>
    <row r="10" spans="1:14" x14ac:dyDescent="0.3">
      <c r="A10" s="3">
        <v>7</v>
      </c>
      <c r="B10" s="3" t="s">
        <v>17</v>
      </c>
      <c r="C10" s="3"/>
      <c r="D10" s="3"/>
      <c r="E10" s="3"/>
      <c r="F10" s="3"/>
      <c r="G10" s="3"/>
      <c r="H10" s="3"/>
    </row>
    <row r="11" spans="1:14" x14ac:dyDescent="0.3">
      <c r="A11" s="3">
        <v>8</v>
      </c>
      <c r="B11" s="3" t="s">
        <v>18</v>
      </c>
      <c r="C11" s="3"/>
      <c r="D11" s="3"/>
      <c r="E11" s="3"/>
      <c r="F11" s="3"/>
      <c r="G11" s="3"/>
      <c r="H11" s="3"/>
    </row>
    <row r="12" spans="1:14" x14ac:dyDescent="0.3">
      <c r="A12" s="3">
        <v>9</v>
      </c>
      <c r="B12" s="3" t="s">
        <v>19</v>
      </c>
      <c r="C12" s="3"/>
      <c r="D12" s="3"/>
      <c r="E12" s="3"/>
      <c r="F12" s="3"/>
      <c r="G12" s="3"/>
      <c r="H12" s="3"/>
    </row>
    <row r="13" spans="1:14" x14ac:dyDescent="0.3">
      <c r="A13" s="3">
        <v>10</v>
      </c>
      <c r="B13" s="3" t="s">
        <v>20</v>
      </c>
      <c r="C13" s="3"/>
      <c r="D13" s="3"/>
      <c r="E13" s="3"/>
      <c r="F13" s="3"/>
      <c r="G13" s="3"/>
      <c r="H13" s="3"/>
    </row>
    <row r="14" spans="1:14" x14ac:dyDescent="0.3">
      <c r="A14" s="3">
        <v>11</v>
      </c>
      <c r="B14" s="3" t="s">
        <v>21</v>
      </c>
      <c r="C14" s="3"/>
      <c r="D14" s="3"/>
      <c r="E14" s="3"/>
      <c r="F14" s="3"/>
      <c r="G14" s="3"/>
      <c r="H14" s="3"/>
    </row>
    <row r="15" spans="1:14" x14ac:dyDescent="0.3">
      <c r="A15" s="3">
        <v>12</v>
      </c>
      <c r="B15" s="3" t="s">
        <v>22</v>
      </c>
      <c r="C15" s="3"/>
      <c r="D15" s="3"/>
      <c r="E15" s="3"/>
      <c r="F15" s="3"/>
      <c r="G15" s="3"/>
      <c r="H15" s="3"/>
    </row>
    <row r="16" spans="1:14" x14ac:dyDescent="0.3">
      <c r="A16" s="3">
        <v>13</v>
      </c>
      <c r="B16" s="3" t="s">
        <v>23</v>
      </c>
      <c r="C16" s="3"/>
      <c r="D16" s="3"/>
      <c r="E16" s="3"/>
      <c r="F16" s="3"/>
      <c r="G16" s="3"/>
      <c r="H16" s="3"/>
    </row>
    <row r="17" spans="1:8" x14ac:dyDescent="0.3">
      <c r="A17" s="3">
        <v>14</v>
      </c>
      <c r="B17" s="3" t="s">
        <v>24</v>
      </c>
      <c r="C17" s="3"/>
      <c r="D17" s="3"/>
      <c r="E17" s="3"/>
      <c r="F17" s="3"/>
      <c r="G17" s="3"/>
      <c r="H17" s="3"/>
    </row>
    <row r="18" spans="1:8" x14ac:dyDescent="0.3">
      <c r="A18" s="3">
        <v>15</v>
      </c>
      <c r="B18" s="3" t="s">
        <v>25</v>
      </c>
      <c r="C18" s="3"/>
      <c r="D18" s="3"/>
      <c r="E18" s="3"/>
      <c r="F18" s="3"/>
      <c r="G18" s="3"/>
      <c r="H18" s="3"/>
    </row>
    <row r="19" spans="1:8" x14ac:dyDescent="0.3">
      <c r="A19" s="3">
        <v>16</v>
      </c>
      <c r="B19" s="3" t="s">
        <v>26</v>
      </c>
      <c r="C19" s="3"/>
      <c r="D19" s="3"/>
      <c r="E19" s="3"/>
      <c r="F19" s="3"/>
      <c r="G19" s="3"/>
      <c r="H19" s="3"/>
    </row>
    <row r="20" spans="1:8" x14ac:dyDescent="0.3">
      <c r="A20" s="3">
        <v>17</v>
      </c>
      <c r="B20" s="3" t="s">
        <v>27</v>
      </c>
      <c r="C20" s="3"/>
      <c r="D20" s="3"/>
      <c r="E20" s="3"/>
      <c r="F20" s="3"/>
      <c r="G20" s="3"/>
      <c r="H20" s="3"/>
    </row>
    <row r="21" spans="1:8" x14ac:dyDescent="0.3">
      <c r="A21" s="3">
        <v>18</v>
      </c>
      <c r="B21" s="3" t="s">
        <v>28</v>
      </c>
      <c r="C21" s="3"/>
      <c r="D21" s="3"/>
      <c r="E21" s="3"/>
      <c r="F21" s="3"/>
      <c r="G21" s="3"/>
      <c r="H21" s="3"/>
    </row>
    <row r="22" spans="1:8" x14ac:dyDescent="0.3">
      <c r="A22" s="3">
        <v>19</v>
      </c>
      <c r="B22" s="3" t="s">
        <v>29</v>
      </c>
      <c r="C22" s="3"/>
      <c r="D22" s="3"/>
      <c r="E22" s="3"/>
      <c r="F22" s="3"/>
      <c r="G22" s="3"/>
      <c r="H22" s="3"/>
    </row>
    <row r="23" spans="1:8" x14ac:dyDescent="0.3">
      <c r="A23" s="3">
        <v>20</v>
      </c>
      <c r="B23" s="3" t="s">
        <v>30</v>
      </c>
      <c r="C23" s="3"/>
      <c r="D23" s="3"/>
      <c r="E23" s="3"/>
      <c r="F23" s="3"/>
      <c r="G23" s="3"/>
      <c r="H23" s="3"/>
    </row>
    <row r="24" spans="1:8" x14ac:dyDescent="0.3">
      <c r="A24" s="3"/>
      <c r="B24" s="3" t="s">
        <v>31</v>
      </c>
      <c r="C24" s="3"/>
      <c r="D24" s="3"/>
      <c r="E24" s="3"/>
      <c r="F24" s="3"/>
      <c r="G24" s="3"/>
      <c r="H24" s="3"/>
    </row>
  </sheetData>
  <mergeCells count="7">
    <mergeCell ref="G2:H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takky -</cp:lastModifiedBy>
  <dcterms:created xsi:type="dcterms:W3CDTF">2020-09-29T07:37:59Z</dcterms:created>
  <dcterms:modified xsi:type="dcterms:W3CDTF">2020-10-05T08:10:16Z</dcterms:modified>
</cp:coreProperties>
</file>