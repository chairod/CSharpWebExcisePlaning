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lly\Desktop\งาน ปี 63\สรรพาสามิต\งวดที่ 2\"/>
    </mc:Choice>
  </mc:AlternateContent>
  <bookViews>
    <workbookView xWindow="0" yWindow="0" windowWidth="20400" windowHeight="7455" firstSheet="25" activeTab="30"/>
  </bookViews>
  <sheets>
    <sheet name="นอกเวลา" sheetId="1" r:id="rId1"/>
    <sheet name="ภาคใต้" sheetId="24" r:id="rId2"/>
    <sheet name="อุตสาหกรรม" sheetId="25" r:id="rId3"/>
    <sheet name="ค่าเบี้ยประชุม" sheetId="26" r:id="rId4"/>
    <sheet name="เกษียณ" sheetId="2" r:id="rId5"/>
    <sheet name="ค่าเบี้ยเลี้ยง" sheetId="3" r:id="rId6"/>
    <sheet name="ประชาสัมพันธ์" sheetId="4" r:id="rId7"/>
    <sheet name="ครุภัณฑ์" sheetId="5" r:id="rId8"/>
    <sheet name="ยานพาหนะ" sheetId="6" r:id="rId9"/>
    <sheet name="อบรม" sheetId="32" r:id="rId10"/>
    <sheet name="ma" sheetId="27" r:id="rId11"/>
    <sheet name="เหมาบริการ" sheetId="8" r:id="rId12"/>
    <sheet name="เงินทดแทน" sheetId="28" r:id="rId13"/>
    <sheet name="ประกันสังคม" sheetId="9" r:id="rId14"/>
    <sheet name="ค่าใช้สอยอื่นๆ" sheetId="10" r:id="rId15"/>
    <sheet name="วัสดุสำนักงาน" sheetId="11" r:id="rId16"/>
    <sheet name="วัสดุเชื้อเพลิง" sheetId="12" r:id="rId17"/>
    <sheet name=" ครุภัณ์ สนง" sheetId="13" r:id="rId18"/>
    <sheet name="ครุภัณฑ์ คอม" sheetId="14" r:id="rId19"/>
    <sheet name="ครุภัณฑ์อื่นๆ" sheetId="15" r:id="rId20"/>
    <sheet name="ค่าปรับปรุงสนง" sheetId="16" r:id="rId21"/>
    <sheet name="ค่าก่อสร้างบ้านพักข้าราชการ" sheetId="17" r:id="rId22"/>
    <sheet name="ค่าก่อสร้าง สนง" sheetId="18" r:id="rId23"/>
    <sheet name="อบรมในประเทศ" sheetId="19" r:id="rId24"/>
    <sheet name="ประชุมต่างประเทศ" sheetId="20" r:id="rId25"/>
    <sheet name="จ้างที่ปรึกษา" sheetId="21" r:id="rId26"/>
    <sheet name="ทุนการศึกษา" sheetId="22" r:id="rId27"/>
    <sheet name="ตรวจสุขภาพ " sheetId="29" r:id="rId28"/>
    <sheet name="การคลัง" sheetId="23" r:id="rId29"/>
    <sheet name="พัฒนาบุคลากร" sheetId="30" r:id="rId30"/>
    <sheet name="ธนารักษ์" sheetId="31" r:id="rId3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3" l="1"/>
  <c r="H10" i="3"/>
  <c r="N10" i="3" s="1"/>
  <c r="L9" i="3"/>
  <c r="H9" i="3"/>
  <c r="J10" i="13"/>
  <c r="J9" i="13"/>
  <c r="J8" i="13"/>
  <c r="E10" i="9"/>
  <c r="F10" i="9" s="1"/>
  <c r="E9" i="9"/>
  <c r="F9" i="9" s="1"/>
  <c r="E9" i="28"/>
  <c r="F9" i="28" s="1"/>
  <c r="E10" i="28"/>
  <c r="F10" i="28"/>
  <c r="F9" i="2"/>
  <c r="F10" i="2"/>
  <c r="F11" i="2"/>
  <c r="F12" i="2"/>
  <c r="K12" i="26"/>
  <c r="K11" i="26"/>
  <c r="K8" i="26"/>
  <c r="K7" i="26"/>
  <c r="H9" i="25"/>
  <c r="M9" i="1"/>
  <c r="M10" i="1"/>
  <c r="M11" i="1"/>
  <c r="M8" i="1"/>
  <c r="N10" i="1"/>
  <c r="N11" i="1"/>
  <c r="I9" i="1"/>
  <c r="I10" i="1"/>
  <c r="I11" i="1"/>
  <c r="N9" i="3" l="1"/>
  <c r="N9" i="1"/>
  <c r="F10" i="6"/>
  <c r="F8" i="5"/>
  <c r="I8" i="1"/>
  <c r="C8" i="26"/>
  <c r="N8" i="1" l="1"/>
</calcChain>
</file>

<file path=xl/comments1.xml><?xml version="1.0" encoding="utf-8"?>
<comments xmlns="http://schemas.openxmlformats.org/spreadsheetml/2006/main">
  <authors>
    <author>Bally</author>
  </authors>
  <commentList>
    <comment ref="C7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ข้าราชการ ลูกจ้างประจำ พนักงานราชการ  ลูกจ้างชั่วคราว</t>
        </r>
      </text>
    </comment>
  </commentList>
</comments>
</file>

<file path=xl/comments2.xml><?xml version="1.0" encoding="utf-8"?>
<comments xmlns="http://schemas.openxmlformats.org/spreadsheetml/2006/main">
  <authors>
    <author>Bally</author>
  </authors>
  <commentList>
    <comment ref="C7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ข้าราชการ ลูกจ้างประจำ พนักงานราชการ  ลูกจ้างชั่วคราว</t>
        </r>
      </text>
    </comment>
  </commentList>
</comments>
</file>

<file path=xl/comments3.xml><?xml version="1.0" encoding="utf-8"?>
<comments xmlns="http://schemas.openxmlformats.org/spreadsheetml/2006/main">
  <authors>
    <author>Bally</author>
  </authors>
  <commentList>
    <comment ref="C2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ข้าราชการ ลูกจ้างประจำ พนักงานราชการ  ลูกจ้างชั่วคราว</t>
        </r>
      </text>
    </comment>
    <comment ref="C7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ข้าราชการ ลูกจ้างประจำ พนักงานราชการ  ลูกจ้างชั่วคราว</t>
        </r>
      </text>
    </comment>
    <comment ref="F8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ใช้ 200 ไม่ใช่ 400</t>
        </r>
      </text>
    </comment>
  </commentList>
</comments>
</file>

<file path=xl/comments4.xml><?xml version="1.0" encoding="utf-8"?>
<comments xmlns="http://schemas.openxmlformats.org/spreadsheetml/2006/main">
  <authors>
    <author>Bally</author>
  </authors>
  <commentList>
    <comment ref="B7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ทำdropdown กรณีเลือกผู้ควบคุมต้องระบุชื่อรายการ</t>
        </r>
      </text>
    </comment>
  </commentList>
</comments>
</file>

<file path=xl/comments5.xml><?xml version="1.0" encoding="utf-8"?>
<comments xmlns="http://schemas.openxmlformats.org/spreadsheetml/2006/main">
  <authors>
    <author>Bally</author>
  </authors>
  <commentList>
    <comment ref="D8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คูณ 12 เดือน</t>
        </r>
      </text>
    </comment>
  </commentList>
</comments>
</file>

<file path=xl/comments6.xml><?xml version="1.0" encoding="utf-8"?>
<comments xmlns="http://schemas.openxmlformats.org/spreadsheetml/2006/main">
  <authors>
    <author>Bally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Bally:</t>
        </r>
        <r>
          <rPr>
            <sz val="9"/>
            <color indexed="81"/>
            <rFont val="Tahoma"/>
            <family val="2"/>
          </rPr>
          <t xml:space="preserve">
1 ตค 63</t>
        </r>
      </text>
    </comment>
  </commentList>
</comments>
</file>

<file path=xl/comments7.xml><?xml version="1.0" encoding="utf-8"?>
<comments xmlns="http://schemas.openxmlformats.org/spreadsheetml/2006/main">
  <authors>
    <author>Bally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Bally:</t>
        </r>
        <r>
          <rPr>
            <sz val="9"/>
            <color indexed="81"/>
            <rFont val="Tahoma"/>
            <family val="2"/>
          </rPr>
          <t xml:space="preserve">
ทำเหมือนเงิน งบประมาณ</t>
        </r>
      </text>
    </comment>
  </commentList>
</comments>
</file>

<file path=xl/comments8.xml><?xml version="1.0" encoding="utf-8"?>
<comments xmlns="http://schemas.openxmlformats.org/spreadsheetml/2006/main">
  <authors>
    <author>Bally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Bally:</t>
        </r>
        <r>
          <rPr>
            <sz val="9"/>
            <color indexed="81"/>
            <rFont val="Tahoma"/>
            <family val="2"/>
          </rPr>
          <t xml:space="preserve">
ทำเหมือนเงิน งบประมาณ</t>
        </r>
      </text>
    </comment>
  </commentList>
</comments>
</file>

<file path=xl/comments9.xml><?xml version="1.0" encoding="utf-8"?>
<comments xmlns="http://schemas.openxmlformats.org/spreadsheetml/2006/main">
  <authors>
    <author>Bally</author>
  </authors>
  <commentList>
    <comment ref="E8" authorId="0" shapeId="0">
      <text>
        <r>
          <rPr>
            <b/>
            <sz val="9"/>
            <color indexed="81"/>
            <rFont val="Tahoma"/>
            <family val="2"/>
          </rPr>
          <t>Bally:</t>
        </r>
        <r>
          <rPr>
            <sz val="9"/>
            <color indexed="81"/>
            <rFont val="Tahoma"/>
            <family val="2"/>
          </rPr>
          <t xml:space="preserve">
0.2 ของเงินเดือน</t>
        </r>
      </text>
    </comment>
  </commentList>
</comments>
</file>

<file path=xl/comments10.xml><?xml version="1.0" encoding="utf-8"?>
<comments xmlns="http://schemas.openxmlformats.org/spreadsheetml/2006/main">
  <authors>
    <author>Bally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Bally:</t>
        </r>
        <r>
          <rPr>
            <sz val="9"/>
            <color indexed="81"/>
            <rFont val="Tahoma"/>
            <family val="2"/>
          </rPr>
          <t xml:space="preserve">
เพิ่มอัตราว่าง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>Bally:0.5 ของเงินเดือน</t>
        </r>
      </text>
    </comment>
  </commentList>
</comments>
</file>

<file path=xl/comments11.xml><?xml version="1.0" encoding="utf-8"?>
<comments xmlns="http://schemas.openxmlformats.org/spreadsheetml/2006/main">
  <authors>
    <author>Bally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Bally:</t>
        </r>
        <r>
          <rPr>
            <sz val="9"/>
            <color indexed="81"/>
            <rFont val="Tahoma"/>
            <family val="2"/>
          </rPr>
          <t xml:space="preserve">
ปร 4 5 และหนังสืออนุมัติโครงการ</t>
        </r>
      </text>
    </comment>
  </commentList>
</comments>
</file>

<file path=xl/sharedStrings.xml><?xml version="1.0" encoding="utf-8"?>
<sst xmlns="http://schemas.openxmlformats.org/spreadsheetml/2006/main" count="361" uniqueCount="127">
  <si>
    <t>หน่วยงาน......................</t>
  </si>
  <si>
    <t>งบดำเนินงาน</t>
  </si>
  <si>
    <t>ค่าตอบแทน ใช้สอยและวัสดุ</t>
  </si>
  <si>
    <t>ค่าตอบแทน</t>
  </si>
  <si>
    <t>ค่าตอบแทนการปฏิบัติงานนอกเวลาราชการ</t>
  </si>
  <si>
    <t>ลำดับ</t>
  </si>
  <si>
    <t>ชื่อ-สกุล</t>
  </si>
  <si>
    <t>วันธรรมดา (วัน)</t>
  </si>
  <si>
    <t>ชั่วโมง/วัน</t>
  </si>
  <si>
    <t>อัตรา</t>
  </si>
  <si>
    <t>จำนวน (บาท)</t>
  </si>
  <si>
    <t>วันหยุดราชการ (วัน)</t>
  </si>
  <si>
    <t>รวมทั้งสิ้น (บาท)</t>
  </si>
  <si>
    <t>รวมทั้งสิ้น</t>
  </si>
  <si>
    <t>หมายเหตุ ธรรมดาไม่เกิน 4 ชม./วัน</t>
  </si>
  <si>
    <t>วันหยุดและวันหยุดนักขัตฤกษ์ 7 ชม./วัน</t>
  </si>
  <si>
    <t>ค่าใช้สอย</t>
  </si>
  <si>
    <t>รายการ</t>
  </si>
  <si>
    <t>ค่าตอบแทนอื่นๆ</t>
  </si>
  <si>
    <t>ระดับ</t>
  </si>
  <si>
    <t>ครั้ง</t>
  </si>
  <si>
    <t>ค่าเบี้ยเลี้ยง</t>
  </si>
  <si>
    <t>ค่าเช่าที่พัก</t>
  </si>
  <si>
    <t>ค่าพาหนะและค่าน้ำมัน</t>
  </si>
  <si>
    <t>รวมทั้งสิ้น
(บาท)</t>
  </si>
  <si>
    <t>คน</t>
  </si>
  <si>
    <t>วัน</t>
  </si>
  <si>
    <t>คืน</t>
  </si>
  <si>
    <t>สูงกว่าชำนาญการพิเศษ</t>
  </si>
  <si>
    <t>ค่าใช้จ่ายในการประชาสัมพันธ์</t>
  </si>
  <si>
    <t>ค่าซ่อมแซมครุภัณฑ์</t>
  </si>
  <si>
    <t>จำนวนทั้งหมดที่มีอยู่</t>
  </si>
  <si>
    <t>จำนวนที่ขอซ่อม</t>
  </si>
  <si>
    <t>ราคาซ่อมโดยเฉลี่ย/เครื่อง</t>
  </si>
  <si>
    <t>ค่าซ่อมแซมยานพาหนะและขนส่ง</t>
  </si>
  <si>
    <t>ประเภทยานพาหนะ</t>
  </si>
  <si>
    <t>ทะเบียนยานพาหนะราชการ</t>
  </si>
  <si>
    <t>วัน/เดือน/ปี จดทะเบียน</t>
  </si>
  <si>
    <t>อายุการใช้งาน(ปี/เดือน</t>
  </si>
  <si>
    <t>รถยนต์</t>
  </si>
  <si>
    <t>ค่าใช้จ่ายในการอบรม/สัมมนา</t>
  </si>
  <si>
    <t/>
  </si>
  <si>
    <t>จำนวน</t>
  </si>
  <si>
    <t>หน่วยนับ</t>
  </si>
  <si>
    <t>เงินสมทบประกันสังคม</t>
  </si>
  <si>
    <t>ตำแหน่ง</t>
  </si>
  <si>
    <t>อัตราเงินเดือน</t>
  </si>
  <si>
    <t>ต่อเดือน</t>
  </si>
  <si>
    <t>ต่อปี</t>
  </si>
  <si>
    <t>ค่าใช้สอยอื่นๆ</t>
  </si>
  <si>
    <t>หมายเหตุ</t>
  </si>
  <si>
    <t>ค่าวัสดุ</t>
  </si>
  <si>
    <t>ค่าวัสดุสำนักงาน</t>
  </si>
  <si>
    <t>ราคาต่อหน่วย</t>
  </si>
  <si>
    <t>ค่าน้ำมันเชื้อเพลิงและหล่อลื่น</t>
  </si>
  <si>
    <t>คัน</t>
  </si>
  <si>
    <t>วัน/เดือน</t>
  </si>
  <si>
    <t>ลิตร/คัน/เดือน</t>
  </si>
  <si>
    <t>ลิตรละ</t>
  </si>
  <si>
    <t>งบลงทุน</t>
  </si>
  <si>
    <t>ชื่อรายการ</t>
  </si>
  <si>
    <t>คุณลักษณะของครุภัณฑ์ (Spec)</t>
  </si>
  <si>
    <t xml:space="preserve">กรอบครุภัณฑ์ </t>
  </si>
  <si>
    <t>วัตถุประสงค์ในการขอ</t>
  </si>
  <si>
    <r>
      <rPr>
        <sz val="16"/>
        <color rgb="FF000000"/>
        <rFont val="TH SarabunPSK"/>
        <family val="2"/>
      </rPr>
      <t xml:space="preserve">ราคา
</t>
    </r>
    <r>
      <rPr>
        <sz val="16"/>
        <color rgb="FF000000"/>
        <rFont val="TH SarabunPSK"/>
        <family val="2"/>
      </rPr>
      <t xml:space="preserve">ต่อหน่วย/ชุด
</t>
    </r>
    <r>
      <rPr>
        <sz val="16"/>
        <color rgb="FF000000"/>
        <rFont val="TH SarabunPSK"/>
        <family val="2"/>
      </rPr>
      <t xml:space="preserve"> (บาท)</t>
    </r>
  </si>
  <si>
    <r>
      <rPr>
        <sz val="16"/>
        <color rgb="FF000000"/>
        <rFont val="TH SarabunPSK"/>
        <family val="2"/>
      </rPr>
      <t xml:space="preserve">ราคารวม
</t>
    </r>
    <r>
      <rPr>
        <sz val="16"/>
        <color rgb="FF000000"/>
        <rFont val="TH SarabunPSK"/>
        <family val="2"/>
      </rPr>
      <t>(บาท)</t>
    </r>
  </si>
  <si>
    <t>ราคามาตรฐานครุภัณฑ์</t>
  </si>
  <si>
    <t>ไม่กำหนดราคามาตรฐานครุภัณฑ์</t>
  </si>
  <si>
    <t>ความต้องการ</t>
  </si>
  <si>
    <t>จำนวนที่มีอยู่</t>
  </si>
  <si>
    <t>เพิ่มเติม</t>
  </si>
  <si>
    <t>ทดแทนของเดิม</t>
  </si>
  <si>
    <t>ครุภัณฑ์คอมพิวเตอร์</t>
  </si>
  <si>
    <t>ที่ดิน สิ่งก่อสร้าง</t>
  </si>
  <si>
    <t>ค่าปรับปรุงสำนักงานและบ้านพักข้าราชการ</t>
  </si>
  <si>
    <t>ค่าก่อสร้างบ้านพักราชการ</t>
  </si>
  <si>
    <t>ค่าก่อสร้างอาคารสำนักงาน อาคารชุดพักอาศัย</t>
  </si>
  <si>
    <t>งบรายจ่ายอื่น</t>
  </si>
  <si>
    <t xml:space="preserve">รายการ </t>
  </si>
  <si>
    <t>ค่าใช้จ่ายในการประชุมต่างประเทศ</t>
  </si>
  <si>
    <t>ค่าจ้างที่ปรึกษา</t>
  </si>
  <si>
    <t>ค่าทุนการศึกษาต่อ</t>
  </si>
  <si>
    <t>โครงการตรวจสุขภาพ</t>
  </si>
  <si>
    <t>ประเภทบุคลากร</t>
  </si>
  <si>
    <t>อัตราต่อเดือน</t>
  </si>
  <si>
    <t>ชื่อ นามสกุล</t>
  </si>
  <si>
    <t>ยานพาหนะราชการ</t>
  </si>
  <si>
    <t>ค่าตอบแทนบุคคลหรือคณะกรรมการ</t>
  </si>
  <si>
    <t>คณะกรรมการ/ผู้ควบคุมงาน</t>
  </si>
  <si>
    <t>ตำแหน่ง (ก่อนเกษียณ)</t>
  </si>
  <si>
    <t>เงินสมทบกองทุนเงินทดแทน</t>
  </si>
  <si>
    <t>(หมายเหตุ)</t>
  </si>
  <si>
    <t>ค่าใช้จ่ายในการอบรมต่างประเทศ</t>
  </si>
  <si>
    <t>ค่าตอบแทนการปฏิบัติงาน 3 จังหวัดชายแดนใต้</t>
  </si>
  <si>
    <t>เลขที่สัญญา</t>
  </si>
  <si>
    <t>วันที่ของสัญญา</t>
  </si>
  <si>
    <t>วันสิ้นสุดระยะประกัน</t>
  </si>
  <si>
    <t>วงเงินตามสัญญา</t>
  </si>
  <si>
    <t>ปีที่บำรุงรักษา</t>
  </si>
  <si>
    <t>อัตรา(บาท)</t>
  </si>
  <si>
    <t>อัตรา (บาท)</t>
  </si>
  <si>
    <t>โอนให้สำนักงานปลัดกระทรวงการคลัง</t>
  </si>
  <si>
    <t>โอนให้กองทุนพัฒนาบุคลากร</t>
  </si>
  <si>
    <t>โอนให้กรมธนารักษ์</t>
  </si>
  <si>
    <t>ครุภัณฑ์สำนักงาน</t>
  </si>
  <si>
    <t>ครุภัณฑ์อื่นๆ</t>
  </si>
  <si>
    <t>ประธาน</t>
  </si>
  <si>
    <t>คกก</t>
  </si>
  <si>
    <t>หัวหน้า</t>
  </si>
  <si>
    <t>ผู้ควบคุมงาน</t>
  </si>
  <si>
    <t>คกก........</t>
  </si>
  <si>
    <t>ผู้ควบคุมงาน..........</t>
  </si>
  <si>
    <t>ส่วน/ฝ่าย/งาน</t>
  </si>
  <si>
    <t>แผนการรับ - จ่ายเงินฝากค่าใช้จ่ายเก็บภาษีท้องถิ่น ประจำปีงบประมาณ พ.ศ. .......................</t>
  </si>
  <si>
    <t>ค่าตรวจปฏิบัติการโรงงานอุตสาหกรรรม (ส่วนกลางบันทึก)</t>
  </si>
  <si>
    <t xml:space="preserve">ค่าตอบแทนข้าราชการเกษียณ </t>
  </si>
  <si>
    <t>ค่าใช้จ่ายเดินทางราชการ</t>
  </si>
  <si>
    <t>ทำ DD list 7 รายการตามเอกสาร</t>
  </si>
  <si>
    <t>ชำนาญการพิเศษลงมา/พนักงานราชการ/ลูกจ้างประจำ/ลูกจ้างชั่วคราว</t>
  </si>
  <si>
    <t>เครื่องคอมพิวเตอร์</t>
  </si>
  <si>
    <t>รายการ (DDL)</t>
  </si>
  <si>
    <t>ประเภทยานพาหนะ (DDL)</t>
  </si>
  <si>
    <t>ราคาซ่อมโดยเฉลี่ย (บาท)</t>
  </si>
  <si>
    <t>ค่าจ้างเหมาบริการบำรุงรักษาระบบต่างๆ</t>
  </si>
  <si>
    <t>ค่าจ้างเหมาบริการอื่นๆ</t>
  </si>
  <si>
    <t xml:space="preserve">ปัญหา อุปสรรค เหตุผลจำเป็นที่ต้องจัดหาครุภัณฑ์นี้
</t>
  </si>
  <si>
    <t>ครุภัณฑ์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</si>
</sst>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rgb="FFFF0000"/>
      <name val="TH SarabunPSK"/>
      <family val="2"/>
    </font>
    <font>
      <sz val="16"/>
      <color rgb="FF000000"/>
      <name val="TH SarabunPSK"/>
      <family val="2"/>
    </font>
    <font>
      <sz val="11"/>
      <name val="Calibri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3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3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164" fontId="3" fillId="0" borderId="1" xfId="1" applyNumberFormat="1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3" fillId="0" borderId="0" xfId="0" applyFont="1" applyFill="1" applyAlignment="1">
      <alignment horizontal="left" vertical="top"/>
    </xf>
    <xf numFmtId="0" fontId="5" fillId="0" borderId="5" xfId="0" applyNumberFormat="1" applyFont="1" applyFill="1" applyBorder="1" applyAlignment="1">
      <alignment horizontal="center" vertical="top" wrapText="1" readingOrder="1"/>
    </xf>
    <xf numFmtId="0" fontId="5" fillId="0" borderId="8" xfId="0" applyNumberFormat="1" applyFont="1" applyFill="1" applyBorder="1" applyAlignment="1">
      <alignment horizontal="center" vertical="top" wrapText="1" readingOrder="1"/>
    </xf>
    <xf numFmtId="0" fontId="5" fillId="0" borderId="1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7" xfId="0" applyNumberFormat="1" applyFont="1" applyFill="1" applyBorder="1" applyAlignment="1">
      <alignment horizontal="center" vertical="top" wrapText="1" readingOrder="1"/>
    </xf>
    <xf numFmtId="43" fontId="3" fillId="0" borderId="1" xfId="1" applyFont="1" applyFill="1" applyBorder="1" applyAlignment="1">
      <alignment vertical="top"/>
    </xf>
    <xf numFmtId="0" fontId="3" fillId="3" borderId="0" xfId="0" applyFont="1" applyFill="1" applyAlignment="1">
      <alignment horizontal="left" vertical="top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3" fillId="0" borderId="3" xfId="0" applyFont="1" applyFill="1" applyBorder="1" applyAlignment="1">
      <alignment vertical="top"/>
    </xf>
    <xf numFmtId="0" fontId="11" fillId="0" borderId="0" xfId="0" applyFont="1" applyFill="1" applyAlignment="1">
      <alignment vertical="top"/>
    </xf>
    <xf numFmtId="0" fontId="11" fillId="3" borderId="0" xfId="0" applyFont="1" applyFill="1" applyAlignment="1">
      <alignment vertical="top"/>
    </xf>
    <xf numFmtId="0" fontId="2" fillId="0" borderId="0" xfId="0" applyFont="1" applyFill="1" applyAlignment="1">
      <alignment horizontal="center" vertical="top"/>
    </xf>
    <xf numFmtId="0" fontId="2" fillId="0" borderId="1" xfId="0" applyFont="1" applyFill="1" applyBorder="1" applyAlignment="1">
      <alignment horizontal="left" vertical="top"/>
    </xf>
    <xf numFmtId="164" fontId="3" fillId="0" borderId="0" xfId="1" applyNumberFormat="1" applyFont="1" applyFill="1" applyAlignment="1">
      <alignment vertical="top"/>
    </xf>
    <xf numFmtId="164" fontId="3" fillId="0" borderId="1" xfId="0" applyNumberFormat="1" applyFont="1" applyFill="1" applyBorder="1" applyAlignment="1">
      <alignment vertical="top"/>
    </xf>
    <xf numFmtId="164" fontId="2" fillId="0" borderId="1" xfId="1" applyNumberFormat="1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top" wrapText="1"/>
    </xf>
    <xf numFmtId="164" fontId="4" fillId="0" borderId="1" xfId="1" applyNumberFormat="1" applyFont="1" applyFill="1" applyBorder="1" applyAlignment="1">
      <alignment vertical="top"/>
    </xf>
    <xf numFmtId="0" fontId="3" fillId="0" borderId="1" xfId="0" applyFont="1" applyFill="1" applyBorder="1" applyAlignment="1">
      <alignment horizontal="right" vertical="top"/>
    </xf>
    <xf numFmtId="164" fontId="3" fillId="0" borderId="0" xfId="1" applyNumberFormat="1" applyFont="1" applyFill="1" applyBorder="1" applyAlignment="1">
      <alignment vertical="top"/>
    </xf>
    <xf numFmtId="164" fontId="3" fillId="0" borderId="1" xfId="1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 vertical="top"/>
    </xf>
    <xf numFmtId="0" fontId="5" fillId="0" borderId="9" xfId="0" applyNumberFormat="1" applyFont="1" applyFill="1" applyBorder="1" applyAlignment="1">
      <alignment horizontal="center" vertical="top" wrapText="1" readingOrder="1"/>
    </xf>
    <xf numFmtId="0" fontId="6" fillId="0" borderId="6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5" fillId="0" borderId="10" xfId="0" applyNumberFormat="1" applyFont="1" applyFill="1" applyBorder="1" applyAlignment="1">
      <alignment horizontal="center" vertical="top" wrapText="1" readingOrder="1"/>
    </xf>
    <xf numFmtId="0" fontId="5" fillId="0" borderId="11" xfId="0" applyNumberFormat="1" applyFont="1" applyFill="1" applyBorder="1" applyAlignment="1">
      <alignment horizontal="center" vertical="top" wrapText="1" readingOrder="1"/>
    </xf>
    <xf numFmtId="0" fontId="5" fillId="0" borderId="12" xfId="0" applyNumberFormat="1" applyFont="1" applyFill="1" applyBorder="1" applyAlignment="1">
      <alignment horizontal="center" vertical="top" wrapText="1" readingOrder="1"/>
    </xf>
    <xf numFmtId="0" fontId="4" fillId="0" borderId="0" xfId="0" applyFont="1" applyAlignment="1">
      <alignment vertical="top"/>
    </xf>
    <xf numFmtId="0" fontId="3" fillId="0" borderId="0" xfId="0" applyFont="1"/>
    <xf numFmtId="43" fontId="3" fillId="0" borderId="1" xfId="0" applyNumberFormat="1" applyFont="1" applyFill="1" applyBorder="1" applyAlignment="1">
      <alignment vertical="top"/>
    </xf>
    <xf numFmtId="43" fontId="3" fillId="0" borderId="0" xfId="1" applyFont="1" applyFill="1" applyAlignment="1">
      <alignment vertical="top"/>
    </xf>
    <xf numFmtId="43" fontId="5" fillId="0" borderId="1" xfId="1" applyFont="1" applyFill="1" applyBorder="1" applyAlignment="1">
      <alignment horizontal="center" vertical="top" wrapText="1" readingOrder="1"/>
    </xf>
    <xf numFmtId="0" fontId="3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horizontal="right" vertical="top"/>
    </xf>
    <xf numFmtId="0" fontId="0" fillId="0" borderId="1" xfId="0" applyFill="1" applyBorder="1"/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top"/>
    </xf>
    <xf numFmtId="43" fontId="2" fillId="0" borderId="1" xfId="0" applyNumberFormat="1" applyFont="1" applyFill="1" applyBorder="1" applyAlignment="1">
      <alignment vertical="top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top"/>
    </xf>
    <xf numFmtId="0" fontId="2" fillId="0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zoomScale="80" zoomScaleNormal="80" workbookViewId="0">
      <selection activeCell="A12" sqref="A12"/>
    </sheetView>
  </sheetViews>
  <sheetFormatPr defaultRowHeight="24"/>
  <cols>
    <col min="1" max="1" width="6.140625" style="1" customWidth="1"/>
    <col min="2" max="3" width="23.28515625" style="1" customWidth="1"/>
    <col min="4" max="5" width="19.140625" style="1" customWidth="1"/>
    <col min="6" max="7" width="16.140625" style="1" customWidth="1"/>
    <col min="8" max="8" width="13.42578125" style="1" customWidth="1"/>
    <col min="9" max="9" width="15.140625" style="1" customWidth="1"/>
    <col min="10" max="11" width="18.7109375" style="1" customWidth="1"/>
    <col min="12" max="12" width="14.42578125" style="1" customWidth="1"/>
    <col min="13" max="13" width="15.140625" style="1" customWidth="1"/>
    <col min="14" max="14" width="15.7109375" style="1" customWidth="1"/>
    <col min="15" max="16384" width="9.140625" style="1"/>
  </cols>
  <sheetData>
    <row r="1" spans="1:14">
      <c r="A1" s="58" t="s">
        <v>113</v>
      </c>
      <c r="B1" s="58"/>
      <c r="C1" s="58"/>
      <c r="D1" s="58"/>
      <c r="E1" s="58"/>
      <c r="F1" s="58"/>
      <c r="G1" s="58"/>
    </row>
    <row r="2" spans="1:14">
      <c r="A2" s="2" t="s">
        <v>0</v>
      </c>
      <c r="B2" s="2"/>
      <c r="C2" s="2"/>
      <c r="D2" s="2"/>
      <c r="E2" s="2"/>
      <c r="F2" s="2"/>
      <c r="G2" s="2"/>
    </row>
    <row r="3" spans="1:14">
      <c r="A3" s="57" t="s">
        <v>1</v>
      </c>
      <c r="B3" s="2"/>
      <c r="C3" s="2"/>
      <c r="D3" s="2"/>
      <c r="E3" s="2"/>
      <c r="F3" s="2"/>
      <c r="G3" s="2"/>
    </row>
    <row r="4" spans="1:14">
      <c r="A4" s="57" t="s">
        <v>2</v>
      </c>
      <c r="B4" s="2"/>
      <c r="C4" s="2"/>
      <c r="D4" s="2"/>
      <c r="E4" s="2"/>
      <c r="F4" s="2"/>
      <c r="G4" s="2"/>
    </row>
    <row r="5" spans="1:14">
      <c r="A5" s="57" t="s">
        <v>3</v>
      </c>
      <c r="B5" s="2"/>
      <c r="C5" s="2"/>
      <c r="D5" s="2"/>
      <c r="E5" s="2"/>
      <c r="F5" s="2"/>
      <c r="G5" s="2"/>
    </row>
    <row r="6" spans="1:14">
      <c r="A6" s="36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54" t="s">
        <v>5</v>
      </c>
      <c r="B7" s="54" t="s">
        <v>6</v>
      </c>
      <c r="C7" s="54" t="s">
        <v>83</v>
      </c>
      <c r="D7" s="54" t="s">
        <v>45</v>
      </c>
      <c r="E7" s="54" t="s">
        <v>112</v>
      </c>
      <c r="F7" s="54" t="s">
        <v>7</v>
      </c>
      <c r="G7" s="54" t="s">
        <v>8</v>
      </c>
      <c r="H7" s="54" t="s">
        <v>9</v>
      </c>
      <c r="I7" s="54" t="s">
        <v>10</v>
      </c>
      <c r="J7" s="54" t="s">
        <v>11</v>
      </c>
      <c r="K7" s="54" t="s">
        <v>8</v>
      </c>
      <c r="L7" s="54" t="s">
        <v>9</v>
      </c>
      <c r="M7" s="54" t="s">
        <v>10</v>
      </c>
      <c r="N7" s="54" t="s">
        <v>12</v>
      </c>
    </row>
    <row r="8" spans="1:14">
      <c r="A8" s="6">
        <v>1</v>
      </c>
      <c r="B8" s="6"/>
      <c r="C8" s="6"/>
      <c r="D8" s="6"/>
      <c r="E8" s="6"/>
      <c r="F8" s="6"/>
      <c r="G8" s="6"/>
      <c r="H8" s="6"/>
      <c r="I8" s="23">
        <f>F8*G8*H8</f>
        <v>0</v>
      </c>
      <c r="J8" s="6"/>
      <c r="K8" s="6"/>
      <c r="L8" s="6"/>
      <c r="M8" s="23">
        <f>J8*K8*L8</f>
        <v>0</v>
      </c>
      <c r="N8" s="23">
        <f>I8+M8</f>
        <v>0</v>
      </c>
    </row>
    <row r="9" spans="1:14">
      <c r="A9" s="6">
        <v>2</v>
      </c>
      <c r="B9" s="6"/>
      <c r="C9" s="6"/>
      <c r="D9" s="6"/>
      <c r="E9" s="6"/>
      <c r="F9" s="6"/>
      <c r="G9" s="6"/>
      <c r="H9" s="6"/>
      <c r="I9" s="23">
        <f t="shared" ref="I9:I11" si="0">F9*G9*H9</f>
        <v>0</v>
      </c>
      <c r="J9" s="6"/>
      <c r="K9" s="6"/>
      <c r="L9" s="6"/>
      <c r="M9" s="23">
        <f t="shared" ref="M9:M11" si="1">J9*K9*L9</f>
        <v>0</v>
      </c>
      <c r="N9" s="23">
        <f t="shared" ref="N9:N11" si="2">I9+M9</f>
        <v>0</v>
      </c>
    </row>
    <row r="10" spans="1:14">
      <c r="A10" s="6"/>
      <c r="B10" s="78"/>
      <c r="C10" s="78"/>
      <c r="D10" s="6"/>
      <c r="E10" s="6"/>
      <c r="F10" s="6"/>
      <c r="G10" s="6"/>
      <c r="H10" s="6"/>
      <c r="I10" s="23">
        <f t="shared" si="0"/>
        <v>0</v>
      </c>
      <c r="J10" s="6"/>
      <c r="K10" s="6"/>
      <c r="L10" s="6"/>
      <c r="M10" s="23">
        <f t="shared" si="1"/>
        <v>0</v>
      </c>
      <c r="N10" s="23">
        <f t="shared" si="2"/>
        <v>0</v>
      </c>
    </row>
    <row r="11" spans="1:14">
      <c r="A11" s="6"/>
      <c r="B11" s="78"/>
      <c r="C11" s="78"/>
      <c r="D11" s="6"/>
      <c r="E11" s="6"/>
      <c r="F11" s="6"/>
      <c r="G11" s="6"/>
      <c r="H11" s="6"/>
      <c r="I11" s="23">
        <f t="shared" si="0"/>
        <v>0</v>
      </c>
      <c r="J11" s="6"/>
      <c r="K11" s="6"/>
      <c r="L11" s="6"/>
      <c r="M11" s="23">
        <f t="shared" si="1"/>
        <v>0</v>
      </c>
      <c r="N11" s="23">
        <f t="shared" si="2"/>
        <v>0</v>
      </c>
    </row>
    <row r="12" spans="1:14">
      <c r="A12" s="8"/>
      <c r="B12" s="79" t="s">
        <v>13</v>
      </c>
      <c r="C12" s="7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4" spans="1:14">
      <c r="A14" s="1" t="s">
        <v>14</v>
      </c>
    </row>
    <row r="15" spans="1:14">
      <c r="B15" s="1" t="s">
        <v>15</v>
      </c>
    </row>
  </sheetData>
  <mergeCells count="1">
    <mergeCell ref="A1:G1"/>
  </mergeCells>
  <pageMargins left="0.7" right="0.7" top="0.75" bottom="0.75" header="0.3" footer="0.3"/>
  <pageSetup scale="56" fitToHeight="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zoomScale="90" zoomScaleNormal="90" workbookViewId="0">
      <selection activeCell="L8" sqref="L8"/>
    </sheetView>
  </sheetViews>
  <sheetFormatPr defaultRowHeight="24"/>
  <cols>
    <col min="1" max="1" width="9.140625" style="74"/>
    <col min="2" max="2" width="20.42578125" style="74" customWidth="1"/>
    <col min="3" max="4" width="16" style="74" customWidth="1"/>
    <col min="5" max="5" width="17" style="74" hidden="1" customWidth="1"/>
    <col min="6" max="6" width="11.28515625" style="74" hidden="1" customWidth="1"/>
    <col min="7" max="7" width="14" style="74" customWidth="1"/>
    <col min="8" max="16384" width="9.140625" style="74"/>
  </cols>
  <sheetData>
    <row r="1" spans="1:12" s="1" customFormat="1">
      <c r="A1" s="58" t="s">
        <v>113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s="1" customFormat="1">
      <c r="A2" s="2" t="s">
        <v>0</v>
      </c>
      <c r="B2" s="2"/>
      <c r="C2" s="2"/>
      <c r="D2" s="2"/>
      <c r="E2" s="2"/>
      <c r="F2" s="2"/>
    </row>
    <row r="3" spans="1:12" s="1" customFormat="1">
      <c r="A3" s="57" t="s">
        <v>1</v>
      </c>
      <c r="B3" s="2"/>
      <c r="C3" s="2"/>
      <c r="D3" s="2"/>
      <c r="E3" s="2"/>
      <c r="F3" s="2"/>
    </row>
    <row r="4" spans="1:12" s="1" customFormat="1">
      <c r="A4" s="57" t="s">
        <v>2</v>
      </c>
      <c r="B4" s="2"/>
      <c r="C4" s="2"/>
      <c r="D4" s="2"/>
      <c r="E4" s="2"/>
      <c r="F4" s="2"/>
    </row>
    <row r="5" spans="1:12" s="1" customFormat="1">
      <c r="A5" s="57" t="s">
        <v>3</v>
      </c>
      <c r="B5" s="2"/>
      <c r="C5" s="2"/>
      <c r="D5" s="2"/>
      <c r="E5" s="2"/>
      <c r="F5" s="2"/>
    </row>
    <row r="6" spans="1:12" ht="20.25" customHeight="1">
      <c r="A6" s="73" t="s">
        <v>93</v>
      </c>
    </row>
    <row r="7" spans="1:12">
      <c r="A7" s="54" t="s">
        <v>5</v>
      </c>
      <c r="B7" s="54" t="s">
        <v>6</v>
      </c>
      <c r="C7" s="54" t="s">
        <v>83</v>
      </c>
      <c r="D7" s="54" t="s">
        <v>45</v>
      </c>
      <c r="E7" s="54" t="s">
        <v>84</v>
      </c>
      <c r="F7" s="54" t="s">
        <v>48</v>
      </c>
      <c r="G7" s="54" t="s">
        <v>10</v>
      </c>
    </row>
    <row r="8" spans="1:12">
      <c r="A8" s="6">
        <v>1</v>
      </c>
      <c r="B8" s="6"/>
      <c r="C8" s="6"/>
      <c r="D8" s="6"/>
      <c r="E8" s="15">
        <v>2500</v>
      </c>
      <c r="F8" s="6">
        <v>12</v>
      </c>
      <c r="G8" s="41"/>
    </row>
    <row r="9" spans="1:12">
      <c r="A9" s="6">
        <v>2</v>
      </c>
      <c r="B9" s="6"/>
      <c r="C9" s="6"/>
      <c r="D9" s="6"/>
      <c r="E9" s="6"/>
      <c r="F9" s="6"/>
      <c r="G9" s="6"/>
    </row>
    <row r="10" spans="1:12">
      <c r="A10" s="6">
        <v>3</v>
      </c>
      <c r="B10" s="78"/>
      <c r="C10" s="6"/>
      <c r="D10" s="6"/>
      <c r="E10" s="6"/>
      <c r="F10" s="6"/>
      <c r="G10" s="6"/>
    </row>
    <row r="11" spans="1:12">
      <c r="A11" s="6">
        <v>4</v>
      </c>
      <c r="B11" s="78"/>
      <c r="C11" s="6"/>
      <c r="D11" s="6"/>
      <c r="E11" s="6"/>
      <c r="F11" s="6"/>
      <c r="G11" s="6"/>
    </row>
    <row r="12" spans="1:12">
      <c r="A12" s="6">
        <v>5</v>
      </c>
      <c r="B12" s="78"/>
      <c r="C12" s="6"/>
      <c r="D12" s="6"/>
      <c r="E12" s="6"/>
      <c r="F12" s="6"/>
      <c r="G12" s="6"/>
    </row>
    <row r="13" spans="1:12">
      <c r="A13" s="6">
        <v>6</v>
      </c>
      <c r="B13" s="78"/>
      <c r="C13" s="6"/>
      <c r="D13" s="6"/>
      <c r="E13" s="6"/>
      <c r="F13" s="6"/>
      <c r="G13" s="6"/>
    </row>
    <row r="14" spans="1:12">
      <c r="A14" s="8"/>
      <c r="B14" s="79" t="s">
        <v>13</v>
      </c>
      <c r="C14" s="8"/>
      <c r="D14" s="8"/>
      <c r="E14" s="8"/>
      <c r="F14" s="8"/>
      <c r="G14" s="8"/>
    </row>
  </sheetData>
  <mergeCells count="1">
    <mergeCell ref="A1:L1"/>
  </mergeCells>
  <pageMargins left="0.7" right="0.7" top="0.75" bottom="0.75" header="0.3" footer="0.3"/>
  <pageSetup fitToHeight="0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zoomScale="90" zoomScaleNormal="90" workbookViewId="0">
      <selection activeCell="E13" sqref="D13:E13"/>
    </sheetView>
  </sheetViews>
  <sheetFormatPr defaultRowHeight="24"/>
  <cols>
    <col min="1" max="1" width="6.140625" style="1" customWidth="1"/>
    <col min="2" max="2" width="48.5703125" style="1" customWidth="1"/>
    <col min="3" max="4" width="16" customWidth="1"/>
    <col min="5" max="5" width="9.140625" style="1"/>
    <col min="6" max="6" width="17.7109375" style="1" customWidth="1"/>
    <col min="7" max="7" width="10.140625" style="1" customWidth="1"/>
    <col min="8" max="8" width="12.7109375" style="1" customWidth="1"/>
    <col min="9" max="16384" width="9.140625" style="1"/>
  </cols>
  <sheetData>
    <row r="1" spans="1:8">
      <c r="A1" s="58" t="s">
        <v>113</v>
      </c>
      <c r="B1" s="58"/>
      <c r="C1" s="58"/>
      <c r="D1" s="58"/>
    </row>
    <row r="2" spans="1:8">
      <c r="A2" s="2" t="s">
        <v>0</v>
      </c>
      <c r="B2" s="2"/>
      <c r="C2" s="32"/>
      <c r="D2" s="32"/>
    </row>
    <row r="3" spans="1:8">
      <c r="A3" s="14" t="s">
        <v>1</v>
      </c>
      <c r="B3" s="2"/>
      <c r="C3" s="33"/>
      <c r="D3" s="33"/>
    </row>
    <row r="4" spans="1:8">
      <c r="A4" s="14" t="s">
        <v>2</v>
      </c>
      <c r="B4" s="2"/>
      <c r="C4" s="33"/>
      <c r="D4" s="33"/>
    </row>
    <row r="5" spans="1:8">
      <c r="A5" s="14" t="s">
        <v>3</v>
      </c>
      <c r="B5" s="2"/>
      <c r="C5" s="34"/>
      <c r="D5" s="34"/>
    </row>
    <row r="6" spans="1:8" ht="26.25" customHeight="1">
      <c r="A6" s="36" t="s">
        <v>114</v>
      </c>
      <c r="B6" s="2"/>
    </row>
    <row r="7" spans="1:8" ht="24" customHeight="1">
      <c r="A7" s="59" t="s">
        <v>5</v>
      </c>
      <c r="B7" s="59" t="s">
        <v>85</v>
      </c>
      <c r="C7" s="59" t="s">
        <v>83</v>
      </c>
      <c r="D7" s="59" t="s">
        <v>45</v>
      </c>
      <c r="E7" s="59" t="s">
        <v>3</v>
      </c>
      <c r="F7" s="59"/>
      <c r="G7" s="59"/>
      <c r="H7" s="59"/>
    </row>
    <row r="8" spans="1:8">
      <c r="A8" s="59"/>
      <c r="B8" s="59"/>
      <c r="C8" s="59"/>
      <c r="D8" s="59"/>
      <c r="E8" s="55" t="s">
        <v>26</v>
      </c>
      <c r="F8" s="55" t="s">
        <v>86</v>
      </c>
      <c r="G8" s="55" t="s">
        <v>9</v>
      </c>
      <c r="H8" s="55" t="s">
        <v>10</v>
      </c>
    </row>
    <row r="9" spans="1:8">
      <c r="A9" s="8">
        <v>1</v>
      </c>
      <c r="B9" s="46"/>
      <c r="C9" s="80"/>
      <c r="D9" s="80"/>
      <c r="E9" s="6"/>
      <c r="F9" s="6"/>
      <c r="G9" s="6"/>
      <c r="H9" s="23">
        <f>E9*F9*G9</f>
        <v>0</v>
      </c>
    </row>
    <row r="10" spans="1:8">
      <c r="A10" s="8"/>
      <c r="B10" s="46"/>
      <c r="C10" s="80"/>
      <c r="D10" s="80"/>
      <c r="E10" s="6"/>
      <c r="F10" s="6"/>
      <c r="G10" s="6"/>
      <c r="H10" s="6"/>
    </row>
  </sheetData>
  <mergeCells count="6">
    <mergeCell ref="A1:D1"/>
    <mergeCell ref="A7:A8"/>
    <mergeCell ref="B7:B8"/>
    <mergeCell ref="E7:H7"/>
    <mergeCell ref="C7:C8"/>
    <mergeCell ref="D7:D8"/>
  </mergeCells>
  <pageMargins left="0.7" right="0.7" top="0.75" bottom="0.75" header="0.3" footer="0.3"/>
  <pageSetup scale="89" fitToHeight="0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3"/>
  <sheetViews>
    <sheetView zoomScale="90" zoomScaleNormal="90" workbookViewId="0">
      <selection activeCell="C14" sqref="C14"/>
    </sheetView>
  </sheetViews>
  <sheetFormatPr defaultRowHeight="24"/>
  <cols>
    <col min="1" max="1" width="6.140625" style="1" customWidth="1"/>
    <col min="2" max="2" width="49.85546875" style="1" customWidth="1"/>
    <col min="3" max="3" width="12.7109375" style="1" customWidth="1"/>
    <col min="4" max="6" width="9.140625" style="1"/>
    <col min="7" max="7" width="20.85546875" style="1" customWidth="1"/>
    <col min="8" max="8" width="14.140625" style="40" customWidth="1"/>
    <col min="9" max="9" width="9.28515625" style="40" bestFit="1" customWidth="1"/>
    <col min="10" max="10" width="10.140625" style="40" bestFit="1" customWidth="1"/>
    <col min="11" max="11" width="13.42578125" style="40" customWidth="1"/>
    <col min="12" max="16384" width="9.140625" style="1"/>
  </cols>
  <sheetData>
    <row r="1" spans="1:11">
      <c r="A1" s="58" t="s">
        <v>113</v>
      </c>
      <c r="B1" s="58"/>
      <c r="C1" s="58"/>
      <c r="D1" s="58"/>
      <c r="E1" s="58"/>
      <c r="F1" s="58"/>
    </row>
    <row r="2" spans="1:11">
      <c r="A2" s="2" t="s">
        <v>0</v>
      </c>
      <c r="B2" s="2"/>
    </row>
    <row r="3" spans="1:11">
      <c r="A3" s="14" t="s">
        <v>1</v>
      </c>
      <c r="B3" s="2"/>
    </row>
    <row r="4" spans="1:11">
      <c r="A4" s="14" t="s">
        <v>3</v>
      </c>
      <c r="B4" s="2"/>
    </row>
    <row r="5" spans="1:11">
      <c r="A5" s="2" t="s">
        <v>18</v>
      </c>
      <c r="B5" s="2"/>
      <c r="G5" s="33"/>
      <c r="H5" s="49"/>
      <c r="I5" s="49"/>
      <c r="J5" s="49"/>
      <c r="K5" s="49"/>
    </row>
    <row r="6" spans="1:11">
      <c r="A6" s="36" t="s">
        <v>87</v>
      </c>
      <c r="B6" s="2"/>
      <c r="G6" s="6" t="s">
        <v>110</v>
      </c>
      <c r="H6" s="50" t="s">
        <v>42</v>
      </c>
      <c r="I6" s="50" t="s">
        <v>26</v>
      </c>
      <c r="J6" s="50" t="s">
        <v>9</v>
      </c>
      <c r="K6" s="50" t="s">
        <v>10</v>
      </c>
    </row>
    <row r="7" spans="1:11">
      <c r="A7" s="54" t="s">
        <v>5</v>
      </c>
      <c r="B7" s="81" t="s">
        <v>88</v>
      </c>
      <c r="C7" s="54" t="s">
        <v>10</v>
      </c>
      <c r="G7" s="6" t="s">
        <v>106</v>
      </c>
      <c r="H7" s="15"/>
      <c r="I7" s="15"/>
      <c r="J7" s="47">
        <v>1500</v>
      </c>
      <c r="K7" s="15">
        <f>H7*I7*J7</f>
        <v>0</v>
      </c>
    </row>
    <row r="8" spans="1:11">
      <c r="A8" s="35">
        <v>1</v>
      </c>
      <c r="B8" s="82"/>
      <c r="C8" s="41">
        <f>K9</f>
        <v>0</v>
      </c>
      <c r="G8" s="6" t="s">
        <v>107</v>
      </c>
      <c r="H8" s="15"/>
      <c r="I8" s="15"/>
      <c r="J8" s="47">
        <v>1200</v>
      </c>
      <c r="K8" s="15">
        <f>H8*I8*J8</f>
        <v>0</v>
      </c>
    </row>
    <row r="9" spans="1:11">
      <c r="A9" s="6">
        <v>2</v>
      </c>
      <c r="B9" s="6"/>
      <c r="C9" s="6"/>
      <c r="G9" s="48" t="s">
        <v>13</v>
      </c>
      <c r="H9" s="15"/>
      <c r="I9" s="15"/>
      <c r="J9" s="47"/>
      <c r="K9" s="15"/>
    </row>
    <row r="10" spans="1:11">
      <c r="A10" s="8"/>
      <c r="B10" s="79" t="s">
        <v>13</v>
      </c>
      <c r="C10" s="8"/>
      <c r="G10" s="6" t="s">
        <v>111</v>
      </c>
      <c r="H10" s="15"/>
      <c r="I10" s="15"/>
      <c r="J10" s="47"/>
      <c r="K10" s="15"/>
    </row>
    <row r="11" spans="1:11">
      <c r="G11" s="6" t="s">
        <v>108</v>
      </c>
      <c r="H11" s="15"/>
      <c r="I11" s="15"/>
      <c r="J11" s="47">
        <v>350</v>
      </c>
      <c r="K11" s="15">
        <f>H11*I11*J11</f>
        <v>0</v>
      </c>
    </row>
    <row r="12" spans="1:11">
      <c r="G12" s="6" t="s">
        <v>109</v>
      </c>
      <c r="H12" s="15"/>
      <c r="I12" s="15"/>
      <c r="J12" s="47">
        <v>300</v>
      </c>
      <c r="K12" s="15">
        <f>H12*I12*J12</f>
        <v>0</v>
      </c>
    </row>
    <row r="13" spans="1:11">
      <c r="G13" s="48" t="s">
        <v>13</v>
      </c>
      <c r="H13" s="15"/>
      <c r="I13" s="15"/>
      <c r="J13" s="15"/>
      <c r="K13" s="15"/>
    </row>
  </sheetData>
  <mergeCells count="1">
    <mergeCell ref="A1:F1"/>
  </mergeCells>
  <pageMargins left="0.7" right="0.7" top="0.75" bottom="0.75" header="0.3" footer="0.3"/>
  <pageSetup fitToHeight="0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zoomScale="90" zoomScaleNormal="90" workbookViewId="0">
      <selection activeCell="I9" sqref="I9"/>
    </sheetView>
  </sheetViews>
  <sheetFormatPr defaultRowHeight="24"/>
  <cols>
    <col min="1" max="1" width="6.140625" style="1" customWidth="1"/>
    <col min="2" max="2" width="41.140625" style="1" customWidth="1"/>
    <col min="3" max="3" width="22.85546875" style="1" customWidth="1"/>
    <col min="4" max="4" width="19" style="1" customWidth="1"/>
    <col min="5" max="5" width="19" style="1" hidden="1" customWidth="1"/>
    <col min="6" max="6" width="12.7109375" style="1" customWidth="1"/>
    <col min="7" max="16384" width="9.140625" style="1"/>
  </cols>
  <sheetData>
    <row r="1" spans="1:6">
      <c r="A1" s="58" t="s">
        <v>113</v>
      </c>
      <c r="B1" s="58"/>
      <c r="C1" s="58"/>
      <c r="D1" s="58"/>
      <c r="E1" s="58"/>
    </row>
    <row r="2" spans="1:6">
      <c r="A2" s="2" t="s">
        <v>0</v>
      </c>
      <c r="B2" s="2"/>
      <c r="C2" s="2"/>
      <c r="D2" s="2"/>
      <c r="E2" s="2"/>
    </row>
    <row r="3" spans="1:6">
      <c r="A3" s="3" t="s">
        <v>1</v>
      </c>
      <c r="B3" s="2"/>
      <c r="C3" s="2"/>
      <c r="D3" s="2"/>
      <c r="E3" s="2"/>
    </row>
    <row r="4" spans="1:6">
      <c r="A4" s="3" t="s">
        <v>2</v>
      </c>
      <c r="B4" s="2"/>
      <c r="C4" s="2"/>
      <c r="D4" s="2"/>
      <c r="E4" s="2"/>
    </row>
    <row r="5" spans="1:6">
      <c r="A5" s="3" t="s">
        <v>3</v>
      </c>
      <c r="B5" s="2"/>
      <c r="C5" s="2"/>
      <c r="D5" s="2"/>
      <c r="E5" s="2"/>
    </row>
    <row r="6" spans="1:6">
      <c r="A6" s="2" t="s">
        <v>18</v>
      </c>
      <c r="B6" s="2"/>
    </row>
    <row r="7" spans="1:6">
      <c r="A7" s="36" t="s">
        <v>115</v>
      </c>
      <c r="B7" s="2"/>
    </row>
    <row r="8" spans="1:6">
      <c r="A8" s="54" t="s">
        <v>5</v>
      </c>
      <c r="B8" s="54" t="s">
        <v>6</v>
      </c>
      <c r="C8" s="54" t="s">
        <v>89</v>
      </c>
      <c r="D8" s="54" t="s">
        <v>84</v>
      </c>
      <c r="E8" s="54" t="s">
        <v>48</v>
      </c>
      <c r="F8" s="54" t="s">
        <v>10</v>
      </c>
    </row>
    <row r="9" spans="1:6">
      <c r="A9" s="6">
        <v>1</v>
      </c>
      <c r="B9" s="6"/>
      <c r="C9" s="6"/>
      <c r="D9" s="23"/>
      <c r="E9" s="23"/>
      <c r="F9" s="23">
        <f>D9*12</f>
        <v>0</v>
      </c>
    </row>
    <row r="10" spans="1:6">
      <c r="A10" s="6"/>
      <c r="B10" s="6"/>
      <c r="C10" s="6"/>
      <c r="D10" s="23"/>
      <c r="E10" s="23"/>
      <c r="F10" s="23">
        <f t="shared" ref="F10:F12" si="0">D10*12</f>
        <v>0</v>
      </c>
    </row>
    <row r="11" spans="1:6">
      <c r="A11" s="6"/>
      <c r="B11" s="6"/>
      <c r="C11" s="6"/>
      <c r="D11" s="23"/>
      <c r="E11" s="23"/>
      <c r="F11" s="23">
        <f t="shared" si="0"/>
        <v>0</v>
      </c>
    </row>
    <row r="12" spans="1:6">
      <c r="A12" s="6">
        <v>2</v>
      </c>
      <c r="B12" s="6"/>
      <c r="C12" s="6"/>
      <c r="D12" s="23"/>
      <c r="E12" s="23"/>
      <c r="F12" s="23">
        <f t="shared" si="0"/>
        <v>0</v>
      </c>
    </row>
    <row r="13" spans="1:6">
      <c r="A13" s="8"/>
      <c r="B13" s="79" t="s">
        <v>13</v>
      </c>
      <c r="C13" s="8"/>
      <c r="D13" s="8"/>
      <c r="E13" s="8"/>
      <c r="F13" s="83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"/>
  <sheetViews>
    <sheetView zoomScale="90" zoomScaleNormal="90" workbookViewId="0">
      <selection activeCell="E13" sqref="E13"/>
    </sheetView>
  </sheetViews>
  <sheetFormatPr defaultRowHeight="24"/>
  <cols>
    <col min="1" max="1" width="6.140625" style="1" customWidth="1"/>
    <col min="2" max="2" width="46.28515625" style="1" customWidth="1"/>
    <col min="3" max="3" width="29.42578125" style="1" customWidth="1"/>
    <col min="4" max="4" width="13.7109375" style="1" customWidth="1"/>
    <col min="5" max="5" width="9.5703125" style="1" customWidth="1"/>
    <col min="6" max="7" width="9.140625" style="1"/>
    <col min="8" max="8" width="13.140625" style="1" customWidth="1"/>
    <col min="9" max="11" width="9.140625" style="1"/>
    <col min="12" max="12" width="14.7109375" style="1" customWidth="1"/>
    <col min="13" max="13" width="11.28515625" style="1" customWidth="1"/>
    <col min="14" max="14" width="14.28515625" style="1" customWidth="1"/>
    <col min="15" max="16384" width="9.140625" style="1"/>
  </cols>
  <sheetData>
    <row r="1" spans="1:14">
      <c r="A1" s="58" t="s">
        <v>113</v>
      </c>
      <c r="B1" s="58"/>
      <c r="C1" s="58"/>
      <c r="D1" s="58"/>
      <c r="E1" s="58"/>
    </row>
    <row r="2" spans="1:14">
      <c r="A2" s="2" t="s">
        <v>0</v>
      </c>
      <c r="B2" s="2"/>
      <c r="C2" s="2"/>
      <c r="D2" s="2"/>
      <c r="E2" s="2"/>
    </row>
    <row r="3" spans="1:14">
      <c r="A3" s="3" t="s">
        <v>1</v>
      </c>
      <c r="B3" s="2"/>
      <c r="C3" s="2"/>
      <c r="D3" s="2"/>
      <c r="E3" s="2"/>
    </row>
    <row r="4" spans="1:14">
      <c r="A4" s="3" t="s">
        <v>2</v>
      </c>
      <c r="B4" s="2"/>
      <c r="C4" s="2"/>
      <c r="D4" s="2"/>
      <c r="E4" s="2"/>
    </row>
    <row r="5" spans="1:14">
      <c r="A5" s="3" t="s">
        <v>16</v>
      </c>
      <c r="B5" s="2"/>
      <c r="C5" s="2"/>
      <c r="D5" s="2"/>
      <c r="E5" s="2"/>
    </row>
    <row r="6" spans="1:14">
      <c r="A6" s="36" t="s">
        <v>116</v>
      </c>
      <c r="B6" s="2"/>
      <c r="C6" s="2"/>
      <c r="D6" s="2"/>
      <c r="E6" s="2"/>
    </row>
    <row r="7" spans="1:14" ht="24" customHeight="1">
      <c r="A7" s="59" t="s">
        <v>5</v>
      </c>
      <c r="B7" s="59" t="s">
        <v>17</v>
      </c>
      <c r="C7" s="59" t="s">
        <v>19</v>
      </c>
      <c r="D7" s="59" t="s">
        <v>20</v>
      </c>
      <c r="E7" s="59" t="s">
        <v>21</v>
      </c>
      <c r="F7" s="59"/>
      <c r="G7" s="59"/>
      <c r="H7" s="59"/>
      <c r="I7" s="60" t="s">
        <v>22</v>
      </c>
      <c r="J7" s="60"/>
      <c r="K7" s="60"/>
      <c r="L7" s="60"/>
      <c r="M7" s="84" t="s">
        <v>23</v>
      </c>
      <c r="N7" s="61" t="s">
        <v>24</v>
      </c>
    </row>
    <row r="8" spans="1:14">
      <c r="A8" s="59"/>
      <c r="B8" s="59"/>
      <c r="C8" s="59"/>
      <c r="D8" s="59"/>
      <c r="E8" s="54" t="s">
        <v>25</v>
      </c>
      <c r="F8" s="55" t="s">
        <v>26</v>
      </c>
      <c r="G8" s="55" t="s">
        <v>9</v>
      </c>
      <c r="H8" s="55" t="s">
        <v>10</v>
      </c>
      <c r="I8" s="54" t="s">
        <v>25</v>
      </c>
      <c r="J8" s="55" t="s">
        <v>27</v>
      </c>
      <c r="K8" s="55" t="s">
        <v>9</v>
      </c>
      <c r="L8" s="55" t="s">
        <v>10</v>
      </c>
      <c r="M8" s="85"/>
      <c r="N8" s="60"/>
    </row>
    <row r="9" spans="1:14">
      <c r="A9" s="60">
        <v>1</v>
      </c>
      <c r="B9" s="62" t="s">
        <v>117</v>
      </c>
      <c r="C9" s="55" t="s">
        <v>28</v>
      </c>
      <c r="D9" s="6"/>
      <c r="E9" s="6"/>
      <c r="F9" s="6"/>
      <c r="G9" s="6"/>
      <c r="H9" s="23">
        <f>D9*E9*F9*G9</f>
        <v>0</v>
      </c>
      <c r="I9" s="6"/>
      <c r="J9" s="6"/>
      <c r="K9" s="6"/>
      <c r="L9" s="23">
        <f>D9*I9*J9*K9</f>
        <v>0</v>
      </c>
      <c r="M9" s="23"/>
      <c r="N9" s="75">
        <f>H9+L9+M9</f>
        <v>0</v>
      </c>
    </row>
    <row r="10" spans="1:14" ht="69" customHeight="1">
      <c r="A10" s="60"/>
      <c r="B10" s="63"/>
      <c r="C10" s="56" t="s">
        <v>118</v>
      </c>
      <c r="D10" s="6"/>
      <c r="E10" s="6"/>
      <c r="F10" s="6"/>
      <c r="G10" s="6"/>
      <c r="H10" s="23">
        <f>D10*E10*F10*G10</f>
        <v>0</v>
      </c>
      <c r="I10" s="6"/>
      <c r="J10" s="6"/>
      <c r="K10" s="6"/>
      <c r="L10" s="23">
        <f>D10*I10*J10*K10</f>
        <v>0</v>
      </c>
      <c r="M10" s="6"/>
      <c r="N10" s="75">
        <f>H10+L10+M10</f>
        <v>0</v>
      </c>
    </row>
  </sheetData>
  <mergeCells count="11">
    <mergeCell ref="I7:L7"/>
    <mergeCell ref="M7:M8"/>
    <mergeCell ref="N7:N8"/>
    <mergeCell ref="A9:A10"/>
    <mergeCell ref="B9:B10"/>
    <mergeCell ref="A1:E1"/>
    <mergeCell ref="A7:A8"/>
    <mergeCell ref="B7:B8"/>
    <mergeCell ref="C7:C8"/>
    <mergeCell ref="D7:D8"/>
    <mergeCell ref="E7:H7"/>
  </mergeCells>
  <pageMargins left="0.7" right="0.7" top="0.75" bottom="0.75" header="0.3" footer="0.3"/>
  <pageSetup scale="61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zoomScale="80" zoomScaleNormal="80" workbookViewId="0">
      <selection activeCell="A6" sqref="A6"/>
    </sheetView>
  </sheetViews>
  <sheetFormatPr defaultRowHeight="24"/>
  <cols>
    <col min="1" max="1" width="6.140625" style="1" customWidth="1"/>
    <col min="2" max="2" width="61.42578125" style="1" customWidth="1"/>
    <col min="3" max="5" width="19" style="1" customWidth="1"/>
    <col min="6" max="16384" width="9.140625" style="1"/>
  </cols>
  <sheetData>
    <row r="1" spans="1:5">
      <c r="A1" s="58" t="s">
        <v>113</v>
      </c>
      <c r="B1" s="58"/>
      <c r="C1" s="58"/>
      <c r="D1" s="58"/>
      <c r="E1" s="58"/>
    </row>
    <row r="2" spans="1:5">
      <c r="A2" s="2" t="s">
        <v>0</v>
      </c>
      <c r="B2" s="2"/>
      <c r="C2" s="2"/>
      <c r="D2" s="2"/>
      <c r="E2" s="2"/>
    </row>
    <row r="3" spans="1:5">
      <c r="A3" s="3" t="s">
        <v>1</v>
      </c>
      <c r="B3" s="2"/>
      <c r="C3" s="2"/>
      <c r="D3" s="2"/>
      <c r="E3" s="2"/>
    </row>
    <row r="4" spans="1:5">
      <c r="A4" s="3" t="s">
        <v>2</v>
      </c>
      <c r="B4" s="2"/>
      <c r="C4" s="2"/>
      <c r="D4" s="2"/>
      <c r="E4" s="2"/>
    </row>
    <row r="5" spans="1:5">
      <c r="A5" s="3" t="s">
        <v>16</v>
      </c>
      <c r="B5" s="2"/>
      <c r="C5" s="2"/>
      <c r="D5" s="2"/>
      <c r="E5" s="2"/>
    </row>
    <row r="6" spans="1:5">
      <c r="A6" s="36" t="s">
        <v>29</v>
      </c>
      <c r="B6" s="2"/>
    </row>
    <row r="7" spans="1:5" ht="24" customHeight="1">
      <c r="A7" s="4" t="s">
        <v>5</v>
      </c>
      <c r="B7" s="4" t="s">
        <v>17</v>
      </c>
      <c r="C7" s="9" t="s">
        <v>10</v>
      </c>
    </row>
    <row r="8" spans="1:5">
      <c r="A8" s="9"/>
      <c r="B8" s="9"/>
      <c r="C8" s="9"/>
    </row>
    <row r="9" spans="1:5">
      <c r="A9" s="6"/>
      <c r="B9" s="6"/>
      <c r="C9" s="6"/>
    </row>
    <row r="10" spans="1:5">
      <c r="A10" s="6"/>
      <c r="B10" s="6"/>
      <c r="C10" s="6"/>
    </row>
  </sheetData>
  <mergeCells count="1">
    <mergeCell ref="A1:E1"/>
  </mergeCells>
  <pageMargins left="0.7" right="0.7" top="0.75" bottom="0.75" header="0.3" footer="0.3"/>
  <pageSetup scale="98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="80" zoomScaleNormal="80" workbookViewId="0">
      <selection activeCell="F8" sqref="F8"/>
    </sheetView>
  </sheetViews>
  <sheetFormatPr defaultRowHeight="24"/>
  <cols>
    <col min="1" max="1" width="6.140625" style="1" customWidth="1"/>
    <col min="2" max="2" width="46.28515625" style="1" customWidth="1"/>
    <col min="3" max="3" width="17.7109375" style="1" customWidth="1"/>
    <col min="4" max="4" width="17.42578125" style="1" customWidth="1"/>
    <col min="5" max="5" width="22.7109375" style="1" customWidth="1"/>
    <col min="6" max="6" width="17.140625" style="1" customWidth="1"/>
    <col min="7" max="16384" width="9.140625" style="1"/>
  </cols>
  <sheetData>
    <row r="1" spans="1:6">
      <c r="A1" s="58" t="s">
        <v>113</v>
      </c>
      <c r="B1" s="58"/>
      <c r="C1" s="58"/>
      <c r="D1" s="58"/>
      <c r="E1" s="58"/>
    </row>
    <row r="2" spans="1:6">
      <c r="A2" s="2" t="s">
        <v>0</v>
      </c>
      <c r="B2" s="2"/>
      <c r="C2" s="2"/>
      <c r="D2" s="2"/>
      <c r="E2" s="2"/>
    </row>
    <row r="3" spans="1:6">
      <c r="A3" s="3" t="s">
        <v>1</v>
      </c>
      <c r="B3" s="2"/>
      <c r="C3" s="2"/>
      <c r="D3" s="2"/>
      <c r="E3" s="2"/>
    </row>
    <row r="4" spans="1:6">
      <c r="A4" s="3" t="s">
        <v>2</v>
      </c>
      <c r="B4" s="2"/>
      <c r="C4" s="2"/>
      <c r="D4" s="2"/>
      <c r="E4" s="2"/>
    </row>
    <row r="5" spans="1:6">
      <c r="A5" s="3" t="s">
        <v>16</v>
      </c>
      <c r="B5" s="2"/>
      <c r="C5" s="2"/>
      <c r="D5" s="2"/>
      <c r="E5" s="2"/>
    </row>
    <row r="6" spans="1:6">
      <c r="A6" s="36" t="s">
        <v>30</v>
      </c>
      <c r="B6" s="2"/>
    </row>
    <row r="7" spans="1:6" ht="24" customHeight="1">
      <c r="A7" s="4" t="s">
        <v>5</v>
      </c>
      <c r="B7" s="43" t="s">
        <v>120</v>
      </c>
      <c r="C7" s="55" t="s">
        <v>31</v>
      </c>
      <c r="D7" s="55" t="s">
        <v>32</v>
      </c>
      <c r="E7" s="55" t="s">
        <v>33</v>
      </c>
      <c r="F7" s="9" t="s">
        <v>12</v>
      </c>
    </row>
    <row r="8" spans="1:6">
      <c r="A8" s="9"/>
      <c r="B8" s="39" t="s">
        <v>119</v>
      </c>
      <c r="C8" s="42"/>
      <c r="D8" s="42"/>
      <c r="E8" s="42"/>
      <c r="F8" s="42">
        <f>C8*D8*E8</f>
        <v>0</v>
      </c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</sheetData>
  <mergeCells count="1">
    <mergeCell ref="A1:E1"/>
  </mergeCells>
  <pageMargins left="0.7" right="0.7" top="0.75" bottom="0.75" header="0.3" footer="0.3"/>
  <pageSetup scale="96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="80" zoomScaleNormal="80" workbookViewId="0">
      <selection activeCell="E16" sqref="E16"/>
    </sheetView>
  </sheetViews>
  <sheetFormatPr defaultRowHeight="24"/>
  <cols>
    <col min="1" max="1" width="6.140625" style="1" customWidth="1"/>
    <col min="2" max="2" width="46.28515625" style="1" customWidth="1"/>
    <col min="3" max="3" width="27" style="1" customWidth="1"/>
    <col min="4" max="4" width="21.5703125" style="1" customWidth="1"/>
    <col min="5" max="5" width="23" style="1" customWidth="1"/>
    <col min="6" max="6" width="25.28515625" style="1" customWidth="1"/>
    <col min="7" max="16384" width="9.140625" style="1"/>
  </cols>
  <sheetData>
    <row r="1" spans="1:6">
      <c r="A1" s="58" t="s">
        <v>113</v>
      </c>
      <c r="B1" s="58"/>
      <c r="C1" s="58"/>
      <c r="D1" s="58"/>
      <c r="E1" s="58"/>
      <c r="F1" s="38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2"/>
      <c r="C3" s="2"/>
      <c r="D3" s="2"/>
      <c r="E3" s="2"/>
      <c r="F3" s="2"/>
    </row>
    <row r="4" spans="1:6">
      <c r="A4" s="3" t="s">
        <v>2</v>
      </c>
      <c r="B4" s="2"/>
      <c r="C4" s="2"/>
      <c r="D4" s="2"/>
      <c r="E4" s="2"/>
      <c r="F4" s="2"/>
    </row>
    <row r="5" spans="1:6">
      <c r="A5" s="3" t="s">
        <v>16</v>
      </c>
      <c r="B5" s="2"/>
      <c r="C5" s="2"/>
      <c r="D5" s="2"/>
      <c r="E5" s="2"/>
      <c r="F5" s="2"/>
    </row>
    <row r="6" spans="1:6">
      <c r="A6" s="36" t="s">
        <v>34</v>
      </c>
      <c r="B6" s="2"/>
      <c r="C6" s="2"/>
      <c r="D6" s="2"/>
    </row>
    <row r="7" spans="1:6" ht="24" customHeight="1">
      <c r="A7" s="4" t="s">
        <v>5</v>
      </c>
      <c r="B7" s="43" t="s">
        <v>121</v>
      </c>
      <c r="C7" s="54" t="s">
        <v>36</v>
      </c>
      <c r="D7" s="54" t="s">
        <v>37</v>
      </c>
      <c r="E7" s="55" t="s">
        <v>38</v>
      </c>
      <c r="F7" s="55" t="s">
        <v>122</v>
      </c>
    </row>
    <row r="8" spans="1:6">
      <c r="A8" s="64">
        <v>1</v>
      </c>
      <c r="B8" s="86" t="s">
        <v>39</v>
      </c>
      <c r="C8" s="13"/>
      <c r="D8" s="13"/>
      <c r="E8" s="55"/>
      <c r="F8" s="42"/>
    </row>
    <row r="9" spans="1:6">
      <c r="A9" s="65"/>
      <c r="B9" s="86"/>
      <c r="C9" s="13"/>
      <c r="D9" s="13"/>
      <c r="E9" s="6"/>
      <c r="F9" s="6"/>
    </row>
    <row r="10" spans="1:6">
      <c r="A10" s="6"/>
      <c r="B10" s="48" t="s">
        <v>13</v>
      </c>
      <c r="C10" s="6"/>
      <c r="D10" s="6"/>
      <c r="E10" s="6"/>
      <c r="F10" s="41">
        <f>SUM(F8:F9)</f>
        <v>0</v>
      </c>
    </row>
  </sheetData>
  <mergeCells count="3">
    <mergeCell ref="A1:E1"/>
    <mergeCell ref="A8:A9"/>
    <mergeCell ref="B8:B9"/>
  </mergeCells>
  <pageMargins left="0.7" right="0.7" top="0.75" bottom="0.75" header="0.3" footer="0.3"/>
  <pageSetup scale="92" fitToHeight="0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zoomScale="80" zoomScaleNormal="80" workbookViewId="0">
      <selection activeCell="A6" sqref="A6"/>
    </sheetView>
  </sheetViews>
  <sheetFormatPr defaultRowHeight="24"/>
  <cols>
    <col min="1" max="1" width="6.140625" style="1" customWidth="1"/>
    <col min="2" max="2" width="61" style="1" customWidth="1"/>
    <col min="3" max="3" width="19.42578125" style="1" customWidth="1"/>
    <col min="4" max="5" width="19" style="1" customWidth="1"/>
    <col min="6" max="16384" width="9.140625" style="1"/>
  </cols>
  <sheetData>
    <row r="1" spans="1:4">
      <c r="A1" s="58" t="s">
        <v>113</v>
      </c>
      <c r="B1" s="58"/>
      <c r="C1" s="58"/>
      <c r="D1" s="58"/>
    </row>
    <row r="2" spans="1:4">
      <c r="A2" s="2" t="s">
        <v>0</v>
      </c>
      <c r="B2" s="2"/>
      <c r="C2" s="2"/>
      <c r="D2" s="2"/>
    </row>
    <row r="3" spans="1:4">
      <c r="A3" s="53" t="s">
        <v>1</v>
      </c>
      <c r="B3" s="2"/>
      <c r="C3" s="2"/>
      <c r="D3" s="2"/>
    </row>
    <row r="4" spans="1:4">
      <c r="A4" s="53" t="s">
        <v>2</v>
      </c>
      <c r="B4" s="2"/>
      <c r="C4" s="2"/>
      <c r="D4" s="2"/>
    </row>
    <row r="5" spans="1:4">
      <c r="A5" s="53" t="s">
        <v>16</v>
      </c>
      <c r="B5" s="2"/>
      <c r="C5" s="2"/>
      <c r="D5" s="2"/>
    </row>
    <row r="6" spans="1:4">
      <c r="A6" s="36" t="s">
        <v>40</v>
      </c>
      <c r="B6" s="2"/>
      <c r="C6" s="2"/>
    </row>
    <row r="7" spans="1:4">
      <c r="A7" s="51" t="s">
        <v>5</v>
      </c>
      <c r="B7" s="51" t="s">
        <v>17</v>
      </c>
      <c r="C7" s="52" t="s">
        <v>10</v>
      </c>
    </row>
    <row r="8" spans="1:4">
      <c r="A8" s="52"/>
      <c r="B8" s="13"/>
      <c r="C8" s="52"/>
    </row>
    <row r="9" spans="1:4">
      <c r="A9" s="6"/>
      <c r="B9" s="6"/>
      <c r="C9" s="6"/>
    </row>
    <row r="10" spans="1:4">
      <c r="A10" s="6"/>
      <c r="B10" s="6"/>
      <c r="C10" s="6"/>
    </row>
  </sheetData>
  <mergeCells count="1">
    <mergeCell ref="A1:D1"/>
  </mergeCells>
  <pageMargins left="0.7" right="0.7" top="0.75" bottom="0.75" header="0.3" footer="0.3"/>
  <pageSetup fitToWidth="0" orientation="landscape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zoomScale="80" zoomScaleNormal="80" workbookViewId="0">
      <selection activeCell="G14" sqref="G14"/>
    </sheetView>
  </sheetViews>
  <sheetFormatPr defaultRowHeight="15"/>
  <cols>
    <col min="2" max="2" width="30.5703125" customWidth="1"/>
    <col min="3" max="3" width="16.5703125" customWidth="1"/>
    <col min="4" max="4" width="17.7109375" customWidth="1"/>
    <col min="5" max="5" width="19.28515625" customWidth="1"/>
    <col min="6" max="6" width="16.28515625" customWidth="1"/>
    <col min="7" max="7" width="16.7109375" customWidth="1"/>
    <col min="8" max="8" width="21.140625" customWidth="1"/>
  </cols>
  <sheetData>
    <row r="1" spans="1:8" s="1" customFormat="1" ht="24">
      <c r="A1" s="66" t="s">
        <v>113</v>
      </c>
      <c r="B1" s="66"/>
      <c r="C1" s="66"/>
      <c r="D1" s="66"/>
      <c r="E1" s="66"/>
    </row>
    <row r="2" spans="1:8" s="1" customFormat="1" ht="24">
      <c r="A2" s="2" t="s">
        <v>0</v>
      </c>
      <c r="B2" s="2"/>
      <c r="C2" s="2"/>
      <c r="D2" s="2"/>
      <c r="E2" s="2"/>
    </row>
    <row r="3" spans="1:8" s="1" customFormat="1" ht="24">
      <c r="A3" s="31" t="s">
        <v>1</v>
      </c>
      <c r="B3" s="2"/>
      <c r="C3" s="2"/>
      <c r="D3" s="2"/>
      <c r="E3" s="2"/>
    </row>
    <row r="4" spans="1:8" s="1" customFormat="1" ht="24">
      <c r="A4" s="31" t="s">
        <v>2</v>
      </c>
      <c r="B4" s="2"/>
      <c r="C4" s="2"/>
      <c r="D4" s="2"/>
      <c r="E4" s="2"/>
    </row>
    <row r="5" spans="1:8" s="1" customFormat="1" ht="24">
      <c r="A5" s="31" t="s">
        <v>16</v>
      </c>
      <c r="B5" s="2"/>
      <c r="C5" s="2"/>
      <c r="D5" s="2"/>
      <c r="E5" s="2"/>
    </row>
    <row r="6" spans="1:8" s="1" customFormat="1" ht="24">
      <c r="A6" s="36" t="s">
        <v>123</v>
      </c>
      <c r="B6" s="2"/>
      <c r="C6" s="2"/>
      <c r="D6" s="2"/>
      <c r="E6" s="2"/>
      <c r="F6" s="2"/>
      <c r="G6" s="2"/>
      <c r="H6" s="2"/>
    </row>
    <row r="7" spans="1:8" s="1" customFormat="1" ht="24">
      <c r="A7" s="29" t="s">
        <v>5</v>
      </c>
      <c r="B7" s="54" t="s">
        <v>17</v>
      </c>
      <c r="C7" s="54" t="s">
        <v>94</v>
      </c>
      <c r="D7" s="54" t="s">
        <v>95</v>
      </c>
      <c r="E7" s="55" t="s">
        <v>96</v>
      </c>
      <c r="F7" s="55" t="s">
        <v>97</v>
      </c>
      <c r="G7" s="55" t="s">
        <v>98</v>
      </c>
      <c r="H7" s="55" t="s">
        <v>10</v>
      </c>
    </row>
    <row r="8" spans="1:8" s="1" customFormat="1" ht="24">
      <c r="A8" s="30"/>
      <c r="B8" s="13"/>
      <c r="C8" s="13"/>
      <c r="D8" s="13"/>
      <c r="E8" s="55"/>
      <c r="F8" s="55"/>
      <c r="G8" s="55"/>
      <c r="H8" s="55"/>
    </row>
    <row r="9" spans="1:8" s="1" customFormat="1" ht="24">
      <c r="A9" s="6"/>
      <c r="B9" s="6"/>
      <c r="C9" s="6"/>
      <c r="D9" s="6"/>
      <c r="E9" s="6"/>
      <c r="F9" s="6"/>
      <c r="G9" s="6"/>
      <c r="H9" s="6"/>
    </row>
    <row r="10" spans="1:8" s="1" customFormat="1" ht="24">
      <c r="A10" s="6"/>
      <c r="B10" s="6"/>
      <c r="C10" s="6"/>
      <c r="D10" s="6"/>
      <c r="E10" s="6"/>
      <c r="F10" s="6"/>
      <c r="G10" s="6"/>
      <c r="H10" s="6"/>
    </row>
  </sheetData>
  <mergeCells count="1">
    <mergeCell ref="A1:E1"/>
  </mergeCells>
  <pageMargins left="0.7" right="0.7" top="0.75" bottom="0.75" header="0.3" footer="0.3"/>
  <pageSetup scale="84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zoomScale="80" zoomScaleNormal="80" workbookViewId="0">
      <selection activeCell="A6" sqref="A6"/>
    </sheetView>
  </sheetViews>
  <sheetFormatPr defaultRowHeight="24"/>
  <cols>
    <col min="1" max="1" width="6.140625" style="1" customWidth="1"/>
    <col min="2" max="2" width="61" style="1" customWidth="1"/>
    <col min="3" max="3" width="19.42578125" style="1" customWidth="1"/>
    <col min="4" max="5" width="19" style="1" customWidth="1"/>
    <col min="6" max="16384" width="9.140625" style="1"/>
  </cols>
  <sheetData>
    <row r="1" spans="1:4">
      <c r="A1" s="58" t="s">
        <v>113</v>
      </c>
      <c r="B1" s="58"/>
      <c r="C1" s="58"/>
      <c r="D1" s="58"/>
    </row>
    <row r="2" spans="1:4">
      <c r="A2" s="2" t="s">
        <v>0</v>
      </c>
      <c r="B2" s="2"/>
      <c r="C2" s="2"/>
      <c r="D2" s="2"/>
    </row>
    <row r="3" spans="1:4">
      <c r="A3" s="3" t="s">
        <v>1</v>
      </c>
      <c r="B3" s="2"/>
      <c r="C3" s="2"/>
      <c r="D3" s="2"/>
    </row>
    <row r="4" spans="1:4">
      <c r="A4" s="3" t="s">
        <v>2</v>
      </c>
      <c r="B4" s="2"/>
      <c r="C4" s="2"/>
      <c r="D4" s="2"/>
    </row>
    <row r="5" spans="1:4">
      <c r="A5" s="3" t="s">
        <v>16</v>
      </c>
      <c r="B5" s="2"/>
      <c r="C5" s="2"/>
      <c r="D5" s="2"/>
    </row>
    <row r="6" spans="1:4">
      <c r="A6" s="36" t="s">
        <v>124</v>
      </c>
      <c r="B6" s="2"/>
      <c r="C6" s="2"/>
    </row>
    <row r="7" spans="1:4">
      <c r="A7" s="45" t="s">
        <v>5</v>
      </c>
      <c r="B7" s="45" t="s">
        <v>17</v>
      </c>
      <c r="C7" s="44" t="s">
        <v>10</v>
      </c>
    </row>
    <row r="8" spans="1:4">
      <c r="A8" s="44"/>
      <c r="B8" s="13"/>
      <c r="C8" s="44"/>
    </row>
    <row r="9" spans="1:4">
      <c r="A9" s="6"/>
      <c r="B9" s="6"/>
      <c r="C9" s="6"/>
    </row>
    <row r="10" spans="1:4">
      <c r="A10" s="6"/>
      <c r="B10" s="6"/>
      <c r="C10" s="6"/>
    </row>
  </sheetData>
  <mergeCells count="1">
    <mergeCell ref="A1:D1"/>
  </mergeCells>
  <pageMargins left="0.7" right="0.7" top="0.75" bottom="0.75" header="0.3" footer="0.3"/>
  <pageSetup fitToWidth="0" orientation="landscape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zoomScale="90" zoomScaleNormal="90" workbookViewId="0">
      <selection activeCell="A11" sqref="A11"/>
    </sheetView>
  </sheetViews>
  <sheetFormatPr defaultRowHeight="15"/>
  <cols>
    <col min="2" max="2" width="26.7109375" customWidth="1"/>
    <col min="3" max="3" width="17.5703125" customWidth="1"/>
    <col min="4" max="4" width="17.28515625" customWidth="1"/>
    <col min="5" max="5" width="16.42578125" customWidth="1"/>
    <col min="6" max="6" width="17.85546875" customWidth="1"/>
  </cols>
  <sheetData>
    <row r="1" spans="1:6" ht="24">
      <c r="A1" s="58" t="s">
        <v>113</v>
      </c>
      <c r="B1" s="58"/>
      <c r="C1" s="58"/>
      <c r="D1" s="58"/>
      <c r="E1" s="58"/>
      <c r="F1" s="58"/>
    </row>
    <row r="2" spans="1:6" ht="24">
      <c r="A2" s="2" t="s">
        <v>0</v>
      </c>
      <c r="B2" s="2"/>
      <c r="C2" s="2"/>
      <c r="D2" s="2"/>
      <c r="E2" s="2"/>
      <c r="F2" s="2"/>
    </row>
    <row r="3" spans="1:6" ht="24">
      <c r="A3" s="66" t="s">
        <v>1</v>
      </c>
      <c r="B3" s="66"/>
      <c r="C3" s="2"/>
      <c r="D3" s="2"/>
      <c r="E3" s="2"/>
      <c r="F3" s="2"/>
    </row>
    <row r="4" spans="1:6" ht="24">
      <c r="A4" s="28" t="s">
        <v>2</v>
      </c>
      <c r="B4" s="28"/>
      <c r="C4" s="2"/>
      <c r="D4" s="2"/>
      <c r="E4" s="2"/>
      <c r="F4" s="2"/>
    </row>
    <row r="5" spans="1:6" ht="24">
      <c r="A5" s="66" t="s">
        <v>3</v>
      </c>
      <c r="B5" s="66"/>
      <c r="C5" s="2"/>
      <c r="D5" s="2"/>
      <c r="E5" s="2"/>
      <c r="F5" s="2"/>
    </row>
    <row r="6" spans="1:6" ht="24">
      <c r="A6" s="36" t="s">
        <v>90</v>
      </c>
      <c r="B6" s="2"/>
      <c r="C6" s="2"/>
      <c r="D6" s="2"/>
      <c r="E6" s="2"/>
      <c r="F6" s="2"/>
    </row>
    <row r="7" spans="1:6" ht="24">
      <c r="A7" s="59" t="s">
        <v>5</v>
      </c>
      <c r="B7" s="59" t="s">
        <v>6</v>
      </c>
      <c r="C7" s="59" t="s">
        <v>45</v>
      </c>
      <c r="D7" s="87" t="s">
        <v>46</v>
      </c>
      <c r="E7" s="60" t="s">
        <v>99</v>
      </c>
      <c r="F7" s="60"/>
    </row>
    <row r="8" spans="1:6" ht="24">
      <c r="A8" s="59"/>
      <c r="B8" s="59"/>
      <c r="C8" s="59"/>
      <c r="D8" s="88"/>
      <c r="E8" s="55" t="s">
        <v>47</v>
      </c>
      <c r="F8" s="55" t="s">
        <v>48</v>
      </c>
    </row>
    <row r="9" spans="1:6" ht="24">
      <c r="A9" s="6">
        <v>1</v>
      </c>
      <c r="B9" s="6"/>
      <c r="C9" s="6"/>
      <c r="D9" s="23"/>
      <c r="E9" s="23">
        <f>D9*0.02</f>
        <v>0</v>
      </c>
      <c r="F9" s="23">
        <f>E9*12</f>
        <v>0</v>
      </c>
    </row>
    <row r="10" spans="1:6" ht="24">
      <c r="A10" s="6">
        <v>2</v>
      </c>
      <c r="B10" s="6"/>
      <c r="C10" s="6"/>
      <c r="D10" s="23"/>
      <c r="E10" s="23">
        <f>D10*0.02</f>
        <v>0</v>
      </c>
      <c r="F10" s="23">
        <f>E10*12</f>
        <v>0</v>
      </c>
    </row>
    <row r="11" spans="1:6" ht="24">
      <c r="A11" s="8"/>
      <c r="B11" s="79" t="s">
        <v>13</v>
      </c>
      <c r="C11" s="8"/>
      <c r="D11" s="89"/>
      <c r="E11" s="89"/>
      <c r="F11" s="89"/>
    </row>
  </sheetData>
  <mergeCells count="8">
    <mergeCell ref="A1:F1"/>
    <mergeCell ref="A3:B3"/>
    <mergeCell ref="A5:B5"/>
    <mergeCell ref="A7:A8"/>
    <mergeCell ref="B7:B8"/>
    <mergeCell ref="C7:C8"/>
    <mergeCell ref="D7:D8"/>
    <mergeCell ref="E7:F7"/>
  </mergeCells>
  <pageMargins left="0.7" right="0.7" top="0.75" bottom="0.75" header="0.3" footer="0.3"/>
  <pageSetup fitToHeight="0" orientation="landscape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zoomScale="80" zoomScaleNormal="80" workbookViewId="0">
      <selection activeCell="E13" sqref="E13"/>
    </sheetView>
  </sheetViews>
  <sheetFormatPr defaultRowHeight="24"/>
  <cols>
    <col min="1" max="1" width="6.140625" style="1" customWidth="1"/>
    <col min="2" max="2" width="28.7109375" style="1" customWidth="1"/>
    <col min="3" max="3" width="28.5703125" style="1" customWidth="1"/>
    <col min="4" max="4" width="20.7109375" style="1" customWidth="1"/>
    <col min="5" max="5" width="13" style="1" customWidth="1"/>
    <col min="6" max="6" width="12.140625" style="1" customWidth="1"/>
    <col min="7" max="16384" width="9.140625" style="1"/>
  </cols>
  <sheetData>
    <row r="1" spans="1:6">
      <c r="A1" s="58" t="s">
        <v>113</v>
      </c>
      <c r="B1" s="58"/>
      <c r="C1" s="58"/>
      <c r="D1" s="58"/>
      <c r="E1" s="58"/>
      <c r="F1" s="58"/>
    </row>
    <row r="2" spans="1:6">
      <c r="A2" s="2" t="s">
        <v>0</v>
      </c>
      <c r="B2" s="2"/>
      <c r="C2" s="2"/>
      <c r="D2" s="2"/>
      <c r="E2" s="2"/>
      <c r="F2" s="2"/>
    </row>
    <row r="3" spans="1:6">
      <c r="A3" s="66" t="s">
        <v>1</v>
      </c>
      <c r="B3" s="66"/>
      <c r="C3" s="2"/>
      <c r="D3" s="2"/>
      <c r="E3" s="2"/>
      <c r="F3" s="2"/>
    </row>
    <row r="4" spans="1:6">
      <c r="A4" s="3" t="s">
        <v>2</v>
      </c>
      <c r="B4" s="3"/>
      <c r="C4" s="2"/>
      <c r="D4" s="2"/>
      <c r="E4" s="2"/>
      <c r="F4" s="2"/>
    </row>
    <row r="5" spans="1:6">
      <c r="A5" s="66" t="s">
        <v>3</v>
      </c>
      <c r="B5" s="66"/>
      <c r="C5" s="2"/>
      <c r="D5" s="2"/>
      <c r="E5" s="2"/>
      <c r="F5" s="2"/>
    </row>
    <row r="6" spans="1:6">
      <c r="A6" s="36" t="s">
        <v>44</v>
      </c>
      <c r="B6" s="2"/>
      <c r="C6" s="2"/>
      <c r="D6" s="2"/>
      <c r="E6" s="2"/>
      <c r="F6" s="2"/>
    </row>
    <row r="7" spans="1:6">
      <c r="A7" s="59" t="s">
        <v>5</v>
      </c>
      <c r="B7" s="59" t="s">
        <v>6</v>
      </c>
      <c r="C7" s="59" t="s">
        <v>45</v>
      </c>
      <c r="D7" s="87" t="s">
        <v>46</v>
      </c>
      <c r="E7" s="60" t="s">
        <v>100</v>
      </c>
      <c r="F7" s="60"/>
    </row>
    <row r="8" spans="1:6">
      <c r="A8" s="59"/>
      <c r="B8" s="59"/>
      <c r="C8" s="59"/>
      <c r="D8" s="88"/>
      <c r="E8" s="55" t="s">
        <v>47</v>
      </c>
      <c r="F8" s="55" t="s">
        <v>48</v>
      </c>
    </row>
    <row r="9" spans="1:6">
      <c r="A9" s="6">
        <v>1</v>
      </c>
      <c r="B9" s="6"/>
      <c r="C9" s="6"/>
      <c r="D9" s="23"/>
      <c r="E9" s="23">
        <f>D9*0.05</f>
        <v>0</v>
      </c>
      <c r="F9" s="23">
        <f>E9*12</f>
        <v>0</v>
      </c>
    </row>
    <row r="10" spans="1:6">
      <c r="A10" s="6">
        <v>2</v>
      </c>
      <c r="B10" s="6"/>
      <c r="C10" s="6"/>
      <c r="D10" s="23"/>
      <c r="E10" s="23">
        <f>D10*0.05</f>
        <v>0</v>
      </c>
      <c r="F10" s="23">
        <f>E10*12</f>
        <v>0</v>
      </c>
    </row>
    <row r="11" spans="1:6">
      <c r="A11" s="8"/>
      <c r="B11" s="79" t="s">
        <v>13</v>
      </c>
      <c r="C11" s="8"/>
      <c r="D11" s="89"/>
      <c r="E11" s="89"/>
      <c r="F11" s="89"/>
    </row>
  </sheetData>
  <mergeCells count="8">
    <mergeCell ref="A1:F1"/>
    <mergeCell ref="A3:B3"/>
    <mergeCell ref="A5:B5"/>
    <mergeCell ref="A7:A8"/>
    <mergeCell ref="B7:B8"/>
    <mergeCell ref="C7:C8"/>
    <mergeCell ref="D7:D8"/>
    <mergeCell ref="E7:F7"/>
  </mergeCells>
  <pageMargins left="0.7" right="0.7" top="0.75" bottom="0.75" header="0.3" footer="0.3"/>
  <pageSetup fitToHeight="0" orientation="landscape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zoomScale="80" zoomScaleNormal="80" workbookViewId="0">
      <selection activeCell="E14" sqref="E14"/>
    </sheetView>
  </sheetViews>
  <sheetFormatPr defaultRowHeight="24"/>
  <cols>
    <col min="1" max="1" width="6.140625" style="1" customWidth="1"/>
    <col min="2" max="2" width="61" style="1" customWidth="1"/>
    <col min="3" max="3" width="19.42578125" style="1" customWidth="1"/>
    <col min="4" max="5" width="19" style="1" customWidth="1"/>
    <col min="6" max="16384" width="9.140625" style="1"/>
  </cols>
  <sheetData>
    <row r="1" spans="1:4">
      <c r="A1" s="58" t="s">
        <v>113</v>
      </c>
      <c r="B1" s="58"/>
      <c r="C1" s="58"/>
    </row>
    <row r="2" spans="1:4">
      <c r="A2" s="2" t="s">
        <v>0</v>
      </c>
      <c r="B2" s="2"/>
      <c r="C2" s="2"/>
    </row>
    <row r="3" spans="1:4">
      <c r="A3" s="3" t="s">
        <v>1</v>
      </c>
      <c r="B3" s="2"/>
      <c r="C3" s="2"/>
    </row>
    <row r="4" spans="1:4">
      <c r="A4" s="3" t="s">
        <v>2</v>
      </c>
      <c r="B4" s="2"/>
      <c r="C4" s="2"/>
    </row>
    <row r="5" spans="1:4">
      <c r="A5" s="3" t="s">
        <v>16</v>
      </c>
      <c r="B5" s="2"/>
      <c r="C5" s="2"/>
    </row>
    <row r="6" spans="1:4">
      <c r="A6" s="36" t="s">
        <v>49</v>
      </c>
      <c r="B6" s="2"/>
      <c r="C6" s="2"/>
    </row>
    <row r="7" spans="1:4">
      <c r="A7" s="27" t="s">
        <v>5</v>
      </c>
      <c r="B7" s="54" t="s">
        <v>17</v>
      </c>
      <c r="C7" s="55" t="s">
        <v>10</v>
      </c>
      <c r="D7" s="25" t="s">
        <v>91</v>
      </c>
    </row>
    <row r="8" spans="1:4">
      <c r="A8" s="26"/>
      <c r="B8" s="25"/>
      <c r="C8" s="55"/>
      <c r="D8" s="25"/>
    </row>
    <row r="9" spans="1:4">
      <c r="A9" s="25"/>
      <c r="B9" s="25"/>
      <c r="C9" s="25"/>
      <c r="D9" s="25"/>
    </row>
    <row r="10" spans="1:4">
      <c r="A10" s="25"/>
      <c r="B10" s="25"/>
      <c r="C10" s="25"/>
      <c r="D10" s="25"/>
    </row>
  </sheetData>
  <mergeCells count="1">
    <mergeCell ref="A1:C1"/>
  </mergeCells>
  <pageMargins left="0.7" right="0.7" top="0.75" bottom="0.75" header="0.3" footer="0.3"/>
  <pageSetup fitToHeight="0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zoomScale="80" zoomScaleNormal="80" workbookViewId="0">
      <selection activeCell="B7" sqref="B7:B8"/>
    </sheetView>
  </sheetViews>
  <sheetFormatPr defaultRowHeight="24"/>
  <cols>
    <col min="1" max="1" width="6.140625" style="1" customWidth="1"/>
    <col min="2" max="2" width="61" style="1" customWidth="1"/>
    <col min="3" max="3" width="15.42578125" style="1" hidden="1" customWidth="1"/>
    <col min="4" max="4" width="13.42578125" style="1" hidden="1" customWidth="1"/>
    <col min="5" max="5" width="16.5703125" style="1" hidden="1" customWidth="1"/>
    <col min="6" max="6" width="19.42578125" style="1" customWidth="1"/>
    <col min="7" max="9" width="19" style="1" customWidth="1"/>
    <col min="10" max="16384" width="9.140625" style="1"/>
  </cols>
  <sheetData>
    <row r="1" spans="1:7">
      <c r="A1" s="2" t="s">
        <v>113</v>
      </c>
      <c r="B1" s="2"/>
      <c r="C1" s="2"/>
      <c r="D1" s="2"/>
    </row>
    <row r="2" spans="1:7">
      <c r="A2" s="2" t="s">
        <v>0</v>
      </c>
      <c r="B2" s="2"/>
      <c r="C2" s="2"/>
      <c r="D2" s="2"/>
    </row>
    <row r="3" spans="1:7">
      <c r="A3" s="3" t="s">
        <v>1</v>
      </c>
      <c r="B3" s="2"/>
      <c r="C3" s="2"/>
      <c r="D3" s="2"/>
    </row>
    <row r="4" spans="1:7">
      <c r="A4" s="3" t="s">
        <v>2</v>
      </c>
      <c r="B4" s="2"/>
      <c r="C4" s="2"/>
      <c r="D4" s="2"/>
    </row>
    <row r="5" spans="1:7">
      <c r="A5" s="3" t="s">
        <v>51</v>
      </c>
      <c r="B5" s="2"/>
      <c r="C5" s="2"/>
      <c r="D5" s="2"/>
    </row>
    <row r="6" spans="1:7">
      <c r="A6" s="36" t="s">
        <v>52</v>
      </c>
      <c r="B6" s="2"/>
      <c r="C6" s="2"/>
      <c r="D6" s="2"/>
      <c r="E6" s="2"/>
      <c r="F6" s="2"/>
    </row>
    <row r="7" spans="1:7">
      <c r="A7" s="4" t="s">
        <v>5</v>
      </c>
      <c r="B7" s="54" t="s">
        <v>17</v>
      </c>
      <c r="C7" s="10" t="s">
        <v>42</v>
      </c>
      <c r="D7" s="9" t="s">
        <v>43</v>
      </c>
      <c r="E7" s="9" t="s">
        <v>53</v>
      </c>
      <c r="F7" s="9" t="s">
        <v>12</v>
      </c>
      <c r="G7" s="4" t="s">
        <v>50</v>
      </c>
    </row>
    <row r="8" spans="1:7">
      <c r="A8" s="9"/>
      <c r="B8" s="13"/>
      <c r="C8" s="10"/>
      <c r="D8" s="9"/>
      <c r="E8" s="9"/>
      <c r="F8" s="9"/>
      <c r="G8" s="9"/>
    </row>
    <row r="9" spans="1:7">
      <c r="A9" s="6"/>
      <c r="B9" s="6"/>
      <c r="C9" s="6"/>
      <c r="D9" s="6"/>
      <c r="E9" s="6"/>
      <c r="F9" s="6"/>
      <c r="G9" s="6"/>
    </row>
    <row r="10" spans="1:7">
      <c r="A10" s="6"/>
      <c r="B10" s="6"/>
      <c r="C10" s="6"/>
      <c r="D10" s="6"/>
      <c r="E10" s="6"/>
      <c r="F10" s="6"/>
      <c r="G10" s="6"/>
    </row>
  </sheetData>
  <pageMargins left="0.7" right="0.7" top="0.75" bottom="0.75" header="0.3" footer="0.3"/>
  <pageSetup scale="81" fitToHeight="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zoomScale="80" zoomScaleNormal="80" workbookViewId="0">
      <selection activeCell="G14" sqref="G14"/>
    </sheetView>
  </sheetViews>
  <sheetFormatPr defaultRowHeight="24"/>
  <cols>
    <col min="1" max="1" width="6.140625" style="1" customWidth="1"/>
    <col min="2" max="2" width="61" style="1" customWidth="1"/>
    <col min="3" max="3" width="6.28515625" style="1" hidden="1" customWidth="1"/>
    <col min="4" max="4" width="8.5703125" style="1" hidden="1" customWidth="1"/>
    <col min="5" max="5" width="14" style="1" hidden="1" customWidth="1"/>
    <col min="6" max="6" width="8.42578125" style="1" hidden="1" customWidth="1"/>
    <col min="7" max="7" width="14.7109375" style="1" customWidth="1"/>
    <col min="8" max="16384" width="9.140625" style="1"/>
  </cols>
  <sheetData>
    <row r="1" spans="1:8">
      <c r="A1" s="58" t="s">
        <v>113</v>
      </c>
      <c r="B1" s="58"/>
      <c r="C1" s="58"/>
      <c r="D1" s="58"/>
      <c r="E1" s="58"/>
      <c r="F1" s="58"/>
      <c r="G1" s="58"/>
      <c r="H1" s="58"/>
    </row>
    <row r="2" spans="1:8">
      <c r="A2" s="2" t="s">
        <v>0</v>
      </c>
      <c r="B2" s="2"/>
      <c r="C2" s="2"/>
      <c r="D2" s="2"/>
    </row>
    <row r="3" spans="1:8">
      <c r="A3" s="3" t="s">
        <v>1</v>
      </c>
      <c r="B3" s="2"/>
      <c r="C3" s="2"/>
      <c r="D3" s="2"/>
    </row>
    <row r="4" spans="1:8">
      <c r="A4" s="3" t="s">
        <v>2</v>
      </c>
      <c r="B4" s="2"/>
      <c r="C4" s="2"/>
      <c r="D4" s="2"/>
    </row>
    <row r="5" spans="1:8">
      <c r="A5" s="3" t="s">
        <v>51</v>
      </c>
      <c r="B5" s="2"/>
      <c r="C5" s="2"/>
      <c r="D5" s="2"/>
    </row>
    <row r="6" spans="1:8">
      <c r="A6" s="36" t="s">
        <v>54</v>
      </c>
      <c r="B6" s="2"/>
    </row>
    <row r="7" spans="1:8">
      <c r="A7" s="54" t="s">
        <v>5</v>
      </c>
      <c r="B7" s="90" t="s">
        <v>35</v>
      </c>
      <c r="C7" s="5" t="s">
        <v>55</v>
      </c>
      <c r="D7" s="5" t="s">
        <v>56</v>
      </c>
      <c r="E7" s="5" t="s">
        <v>57</v>
      </c>
      <c r="F7" s="5" t="s">
        <v>58</v>
      </c>
      <c r="G7" s="4" t="s">
        <v>10</v>
      </c>
    </row>
    <row r="8" spans="1:8">
      <c r="A8" s="6"/>
      <c r="B8" s="6"/>
      <c r="C8" s="7">
        <v>2</v>
      </c>
      <c r="D8" s="7">
        <v>15</v>
      </c>
      <c r="E8" s="7">
        <v>150</v>
      </c>
      <c r="F8" s="7">
        <v>20</v>
      </c>
      <c r="G8" s="15"/>
    </row>
    <row r="9" spans="1:8">
      <c r="A9" s="6"/>
      <c r="B9" s="6"/>
      <c r="C9" s="16"/>
      <c r="D9" s="16"/>
      <c r="E9" s="16"/>
      <c r="F9" s="16"/>
      <c r="G9" s="16"/>
    </row>
  </sheetData>
  <mergeCells count="1">
    <mergeCell ref="A1:H1"/>
  </mergeCells>
  <pageMargins left="0.7" right="0.7" top="0.75" bottom="0.75" header="0.3" footer="0.3"/>
  <pageSetup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Views>
    <sheetView zoomScale="80" zoomScaleNormal="80" workbookViewId="0">
      <selection activeCell="J10" sqref="J10"/>
    </sheetView>
  </sheetViews>
  <sheetFormatPr defaultRowHeight="24"/>
  <cols>
    <col min="1" max="1" width="6.140625" style="1" customWidth="1"/>
    <col min="2" max="2" width="54.42578125" style="1" customWidth="1"/>
    <col min="3" max="3" width="15.140625" style="1" customWidth="1"/>
    <col min="4" max="4" width="16.28515625" style="1" customWidth="1"/>
    <col min="5" max="6" width="13.7109375" style="1" customWidth="1"/>
    <col min="7" max="7" width="13.5703125" style="1" customWidth="1"/>
    <col min="8" max="8" width="14.140625" style="1" customWidth="1"/>
    <col min="9" max="9" width="17.28515625" style="76" customWidth="1"/>
    <col min="10" max="10" width="13.7109375" style="76" customWidth="1"/>
    <col min="11" max="11" width="33.7109375" style="1" customWidth="1"/>
    <col min="12" max="16384" width="9.140625" style="1"/>
  </cols>
  <sheetData>
    <row r="1" spans="1:11">
      <c r="A1" s="58" t="s">
        <v>113</v>
      </c>
      <c r="B1" s="58"/>
      <c r="C1" s="58"/>
      <c r="D1" s="58"/>
    </row>
    <row r="2" spans="1:11">
      <c r="A2" s="2" t="s">
        <v>0</v>
      </c>
      <c r="B2" s="2"/>
      <c r="C2" s="2"/>
      <c r="D2" s="2"/>
    </row>
    <row r="3" spans="1:11">
      <c r="A3" s="3" t="s">
        <v>59</v>
      </c>
      <c r="B3" s="2"/>
      <c r="C3" s="2"/>
      <c r="D3" s="2"/>
    </row>
    <row r="4" spans="1:11">
      <c r="A4" s="66" t="s">
        <v>126</v>
      </c>
      <c r="B4" s="66"/>
      <c r="C4" s="2"/>
      <c r="D4" s="2"/>
    </row>
    <row r="5" spans="1:11">
      <c r="A5" s="36" t="s">
        <v>104</v>
      </c>
      <c r="B5" s="17"/>
    </row>
    <row r="6" spans="1:11" ht="52.5" customHeight="1">
      <c r="A6" s="71" t="s">
        <v>5</v>
      </c>
      <c r="B6" s="71" t="s">
        <v>60</v>
      </c>
      <c r="C6" s="67" t="s">
        <v>61</v>
      </c>
      <c r="D6" s="68"/>
      <c r="E6" s="69" t="s">
        <v>62</v>
      </c>
      <c r="F6" s="70"/>
      <c r="G6" s="69" t="s">
        <v>63</v>
      </c>
      <c r="H6" s="70"/>
      <c r="I6" s="77" t="s">
        <v>64</v>
      </c>
      <c r="J6" s="77" t="s">
        <v>65</v>
      </c>
      <c r="K6" s="18" t="s">
        <v>125</v>
      </c>
    </row>
    <row r="7" spans="1:11" ht="52.5" customHeight="1">
      <c r="A7" s="72"/>
      <c r="B7" s="72"/>
      <c r="C7" s="19" t="s">
        <v>66</v>
      </c>
      <c r="D7" s="20" t="s">
        <v>67</v>
      </c>
      <c r="E7" s="21" t="s">
        <v>68</v>
      </c>
      <c r="F7" s="21" t="s">
        <v>69</v>
      </c>
      <c r="G7" s="21" t="s">
        <v>70</v>
      </c>
      <c r="H7" s="21" t="s">
        <v>71</v>
      </c>
      <c r="I7" s="77"/>
      <c r="J7" s="77"/>
      <c r="K7" s="22" t="s">
        <v>41</v>
      </c>
    </row>
    <row r="8" spans="1:11">
      <c r="A8" s="6"/>
      <c r="B8" s="6"/>
      <c r="C8" s="6"/>
      <c r="D8" s="6"/>
      <c r="E8" s="6"/>
      <c r="F8" s="6"/>
      <c r="G8" s="6"/>
      <c r="H8" s="6"/>
      <c r="I8" s="23"/>
      <c r="J8" s="23">
        <f>(G8+H8)*I8</f>
        <v>0</v>
      </c>
      <c r="K8" s="6"/>
    </row>
    <row r="9" spans="1:11">
      <c r="A9" s="6"/>
      <c r="B9" s="6"/>
      <c r="C9" s="6"/>
      <c r="D9" s="6"/>
      <c r="E9" s="6"/>
      <c r="F9" s="6"/>
      <c r="G9" s="6"/>
      <c r="H9" s="6"/>
      <c r="I9" s="23"/>
      <c r="J9" s="23">
        <f t="shared" ref="J9:J10" si="0">(G9+H9)*I9</f>
        <v>0</v>
      </c>
      <c r="K9" s="6"/>
    </row>
    <row r="10" spans="1:11">
      <c r="A10" s="6"/>
      <c r="B10" s="6"/>
      <c r="C10" s="6"/>
      <c r="D10" s="6"/>
      <c r="E10" s="6"/>
      <c r="F10" s="6"/>
      <c r="G10" s="6"/>
      <c r="H10" s="6"/>
      <c r="I10" s="23"/>
      <c r="J10" s="23">
        <f t="shared" si="0"/>
        <v>0</v>
      </c>
      <c r="K10" s="6"/>
    </row>
  </sheetData>
  <mergeCells count="9">
    <mergeCell ref="J6:J7"/>
    <mergeCell ref="A1:D1"/>
    <mergeCell ref="C6:D6"/>
    <mergeCell ref="E6:F6"/>
    <mergeCell ref="G6:H6"/>
    <mergeCell ref="I6:I7"/>
    <mergeCell ref="B6:B7"/>
    <mergeCell ref="A6:A7"/>
    <mergeCell ref="A4:B4"/>
  </mergeCells>
  <pageMargins left="0.7" right="0.7" top="0.75" bottom="0.75" header="0.3" footer="0.3"/>
  <pageSetup scale="58" fitToHeight="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zoomScale="80" zoomScaleNormal="80" workbookViewId="0">
      <selection activeCell="A4" sqref="A4:C4"/>
    </sheetView>
  </sheetViews>
  <sheetFormatPr defaultRowHeight="24"/>
  <cols>
    <col min="1" max="1" width="6.140625" style="1" customWidth="1"/>
    <col min="2" max="2" width="61" style="1" customWidth="1"/>
    <col min="3" max="3" width="19.42578125" style="1" customWidth="1"/>
    <col min="4" max="5" width="19" style="1" customWidth="1"/>
    <col min="6" max="16384" width="9.140625" style="1"/>
  </cols>
  <sheetData>
    <row r="1" spans="1:4">
      <c r="A1" s="58" t="s">
        <v>113</v>
      </c>
      <c r="B1" s="58"/>
      <c r="C1" s="58"/>
      <c r="D1" s="58"/>
    </row>
    <row r="2" spans="1:4">
      <c r="A2" s="2" t="s">
        <v>0</v>
      </c>
      <c r="B2" s="2"/>
      <c r="C2" s="2"/>
      <c r="D2" s="2"/>
    </row>
    <row r="3" spans="1:4">
      <c r="A3" s="3" t="s">
        <v>59</v>
      </c>
      <c r="B3" s="2"/>
      <c r="C3" s="2"/>
      <c r="D3" s="2"/>
    </row>
    <row r="4" spans="1:4">
      <c r="A4" s="66" t="s">
        <v>126</v>
      </c>
      <c r="B4" s="66"/>
      <c r="C4" s="66"/>
      <c r="D4" s="2"/>
    </row>
    <row r="5" spans="1:4">
      <c r="A5" s="36" t="s">
        <v>72</v>
      </c>
      <c r="B5" s="2"/>
      <c r="C5" s="2"/>
    </row>
    <row r="6" spans="1:4">
      <c r="A6" s="45" t="s">
        <v>5</v>
      </c>
      <c r="B6" s="45" t="s">
        <v>17</v>
      </c>
      <c r="C6" s="44" t="s">
        <v>10</v>
      </c>
    </row>
    <row r="7" spans="1:4">
      <c r="A7" s="44"/>
      <c r="B7" s="13"/>
      <c r="C7" s="44"/>
    </row>
    <row r="8" spans="1:4">
      <c r="A8" s="6"/>
      <c r="B8" s="6"/>
      <c r="C8" s="6"/>
    </row>
  </sheetData>
  <mergeCells count="2">
    <mergeCell ref="A1:D1"/>
    <mergeCell ref="A4:C4"/>
  </mergeCells>
  <pageMargins left="0.7" right="0.7" top="0.75" bottom="0.75" header="0.3" footer="0.3"/>
  <pageSetup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zoomScale="80" zoomScaleNormal="80" workbookViewId="0">
      <selection activeCell="B13" sqref="B13"/>
    </sheetView>
  </sheetViews>
  <sheetFormatPr defaultRowHeight="24"/>
  <cols>
    <col min="1" max="1" width="6.140625" style="1" customWidth="1"/>
    <col min="2" max="2" width="61" style="1" customWidth="1"/>
    <col min="3" max="3" width="19.42578125" style="1" customWidth="1"/>
    <col min="4" max="5" width="19" style="1" customWidth="1"/>
    <col min="6" max="16384" width="9.140625" style="1"/>
  </cols>
  <sheetData>
    <row r="1" spans="1:4">
      <c r="A1" s="58" t="s">
        <v>113</v>
      </c>
      <c r="B1" s="58"/>
      <c r="C1" s="58"/>
      <c r="D1" s="58"/>
    </row>
    <row r="2" spans="1:4">
      <c r="A2" s="2" t="s">
        <v>0</v>
      </c>
      <c r="B2" s="2"/>
      <c r="C2" s="2"/>
      <c r="D2" s="2"/>
    </row>
    <row r="3" spans="1:4">
      <c r="A3" s="3" t="s">
        <v>59</v>
      </c>
      <c r="B3" s="2"/>
      <c r="C3" s="2"/>
      <c r="D3" s="2"/>
    </row>
    <row r="4" spans="1:4">
      <c r="A4" s="66" t="s">
        <v>126</v>
      </c>
      <c r="B4" s="66"/>
      <c r="C4" s="2"/>
      <c r="D4" s="2"/>
    </row>
    <row r="5" spans="1:4">
      <c r="A5" s="36" t="s">
        <v>105</v>
      </c>
      <c r="B5" s="2"/>
      <c r="C5" s="2"/>
    </row>
    <row r="6" spans="1:4">
      <c r="A6" s="4" t="s">
        <v>5</v>
      </c>
      <c r="B6" s="4" t="s">
        <v>17</v>
      </c>
      <c r="C6" s="9" t="s">
        <v>10</v>
      </c>
    </row>
    <row r="7" spans="1:4">
      <c r="A7" s="9"/>
      <c r="B7" s="13"/>
      <c r="C7" s="9"/>
    </row>
  </sheetData>
  <mergeCells count="2">
    <mergeCell ref="A1:D1"/>
    <mergeCell ref="A4:B4"/>
  </mergeCells>
  <pageMargins left="0.7" right="0.7" top="0.75" bottom="0.75" header="0.3" footer="0.3"/>
  <pageSetup fitToHeight="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zoomScale="80" zoomScaleNormal="80" workbookViewId="0">
      <selection activeCell="C4" sqref="C4"/>
    </sheetView>
  </sheetViews>
  <sheetFormatPr defaultRowHeight="24"/>
  <cols>
    <col min="1" max="1" width="6.140625" style="11" customWidth="1"/>
    <col min="2" max="2" width="54.42578125" style="11" customWidth="1"/>
    <col min="3" max="3" width="15.140625" style="11" customWidth="1"/>
    <col min="4" max="4" width="14.7109375" style="11" customWidth="1"/>
    <col min="5" max="5" width="18.7109375" style="11" customWidth="1"/>
    <col min="6" max="6" width="19.5703125" style="11" customWidth="1"/>
    <col min="7" max="7" width="17.28515625" style="11" customWidth="1"/>
    <col min="8" max="8" width="13.7109375" style="11" customWidth="1"/>
    <col min="9" max="9" width="14.140625" style="11" customWidth="1"/>
    <col min="10" max="10" width="13.140625" style="11" customWidth="1"/>
    <col min="11" max="11" width="17.7109375" style="11" customWidth="1"/>
    <col min="12" max="12" width="33.7109375" style="11" customWidth="1"/>
    <col min="13" max="16384" width="9.140625" style="11"/>
  </cols>
  <sheetData>
    <row r="1" spans="1:4" s="1" customFormat="1">
      <c r="A1" s="58" t="s">
        <v>113</v>
      </c>
      <c r="B1" s="58"/>
      <c r="C1" s="58"/>
      <c r="D1" s="58"/>
    </row>
    <row r="2" spans="1:4" s="1" customFormat="1">
      <c r="A2" s="2" t="s">
        <v>0</v>
      </c>
      <c r="B2" s="2"/>
      <c r="C2" s="2"/>
      <c r="D2" s="2"/>
    </row>
    <row r="3" spans="1:4" s="1" customFormat="1">
      <c r="A3" s="3" t="s">
        <v>59</v>
      </c>
      <c r="B3" s="2"/>
      <c r="C3" s="2"/>
      <c r="D3" s="2"/>
    </row>
    <row r="4" spans="1:4">
      <c r="A4" s="12" t="s">
        <v>73</v>
      </c>
      <c r="B4" s="24"/>
    </row>
    <row r="5" spans="1:4">
      <c r="A5" s="37" t="s">
        <v>74</v>
      </c>
      <c r="B5" s="24"/>
    </row>
    <row r="6" spans="1:4">
      <c r="A6" s="4" t="s">
        <v>5</v>
      </c>
      <c r="B6" s="4" t="s">
        <v>17</v>
      </c>
      <c r="C6" s="9" t="s">
        <v>10</v>
      </c>
      <c r="D6" s="9" t="s">
        <v>50</v>
      </c>
    </row>
    <row r="7" spans="1:4">
      <c r="A7" s="9"/>
      <c r="B7" s="9"/>
      <c r="C7" s="9"/>
      <c r="D7" s="9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</sheetData>
  <mergeCells count="1">
    <mergeCell ref="A1:D1"/>
  </mergeCells>
  <pageMargins left="0.7" right="0.7" top="0.75" bottom="0.75" header="0.3" footer="0.3"/>
  <pageSetup fitToHeight="0" orientation="landscape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zoomScale="80" zoomScaleNormal="80" workbookViewId="0">
      <selection activeCell="C4" sqref="C4"/>
    </sheetView>
  </sheetViews>
  <sheetFormatPr defaultRowHeight="24"/>
  <cols>
    <col min="1" max="1" width="6.140625" style="11" customWidth="1"/>
    <col min="2" max="2" width="54.42578125" style="11" customWidth="1"/>
    <col min="3" max="3" width="15.140625" style="11" customWidth="1"/>
    <col min="4" max="4" width="14.7109375" style="11" customWidth="1"/>
    <col min="5" max="5" width="18.7109375" style="11" customWidth="1"/>
    <col min="6" max="6" width="19.5703125" style="11" customWidth="1"/>
    <col min="7" max="7" width="17.28515625" style="11" customWidth="1"/>
    <col min="8" max="8" width="13.7109375" style="11" customWidth="1"/>
    <col min="9" max="9" width="14.140625" style="11" customWidth="1"/>
    <col min="10" max="10" width="13.140625" style="11" customWidth="1"/>
    <col min="11" max="11" width="17.7109375" style="11" customWidth="1"/>
    <col min="12" max="12" width="33.7109375" style="11" customWidth="1"/>
    <col min="13" max="16384" width="9.140625" style="11"/>
  </cols>
  <sheetData>
    <row r="1" spans="1:4" s="1" customFormat="1">
      <c r="A1" s="58" t="s">
        <v>113</v>
      </c>
      <c r="B1" s="58"/>
      <c r="C1" s="58"/>
      <c r="D1" s="58"/>
    </row>
    <row r="2" spans="1:4" s="1" customFormat="1">
      <c r="A2" s="2" t="s">
        <v>0</v>
      </c>
      <c r="B2" s="2"/>
      <c r="C2" s="2"/>
      <c r="D2" s="2"/>
    </row>
    <row r="3" spans="1:4" s="1" customFormat="1">
      <c r="A3" s="3" t="s">
        <v>59</v>
      </c>
      <c r="B3" s="2"/>
      <c r="C3" s="2"/>
      <c r="D3" s="2"/>
    </row>
    <row r="4" spans="1:4">
      <c r="A4" s="12" t="s">
        <v>73</v>
      </c>
      <c r="B4" s="24"/>
    </row>
    <row r="5" spans="1:4">
      <c r="A5" s="37" t="s">
        <v>75</v>
      </c>
      <c r="B5" s="24"/>
    </row>
    <row r="6" spans="1:4">
      <c r="A6" s="4" t="s">
        <v>5</v>
      </c>
      <c r="B6" s="4" t="s">
        <v>17</v>
      </c>
      <c r="C6" s="9" t="s">
        <v>10</v>
      </c>
      <c r="D6" s="9" t="s">
        <v>50</v>
      </c>
    </row>
    <row r="7" spans="1:4">
      <c r="A7" s="9"/>
      <c r="B7" s="9"/>
      <c r="C7" s="9"/>
      <c r="D7" s="9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</sheetData>
  <mergeCells count="1">
    <mergeCell ref="A1:D1"/>
  </mergeCells>
  <pageMargins left="0.7" right="0.7" top="0.75" bottom="0.75" header="0.3" footer="0.3"/>
  <pageSetup fitToHeight="0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zoomScale="80" zoomScaleNormal="80" workbookViewId="0">
      <selection activeCell="C4" sqref="C4"/>
    </sheetView>
  </sheetViews>
  <sheetFormatPr defaultRowHeight="24"/>
  <cols>
    <col min="1" max="1" width="6.140625" style="11" customWidth="1"/>
    <col min="2" max="2" width="54.42578125" style="11" customWidth="1"/>
    <col min="3" max="3" width="15.140625" style="11" customWidth="1"/>
    <col min="4" max="4" width="14.7109375" style="11" customWidth="1"/>
    <col min="5" max="5" width="18.7109375" style="11" customWidth="1"/>
    <col min="6" max="6" width="19.5703125" style="11" customWidth="1"/>
    <col min="7" max="7" width="17.28515625" style="11" customWidth="1"/>
    <col min="8" max="8" width="13.7109375" style="11" customWidth="1"/>
    <col min="9" max="9" width="14.140625" style="11" customWidth="1"/>
    <col min="10" max="10" width="13.140625" style="11" customWidth="1"/>
    <col min="11" max="11" width="17.7109375" style="11" customWidth="1"/>
    <col min="12" max="12" width="33.7109375" style="11" customWidth="1"/>
    <col min="13" max="16384" width="9.140625" style="11"/>
  </cols>
  <sheetData>
    <row r="1" spans="1:4" s="1" customFormat="1">
      <c r="A1" s="58" t="s">
        <v>113</v>
      </c>
      <c r="B1" s="58"/>
      <c r="C1" s="58"/>
      <c r="D1" s="58"/>
    </row>
    <row r="2" spans="1:4" s="1" customFormat="1">
      <c r="A2" s="2" t="s">
        <v>0</v>
      </c>
      <c r="B2" s="2"/>
      <c r="C2" s="2"/>
      <c r="D2" s="2"/>
    </row>
    <row r="3" spans="1:4" s="1" customFormat="1">
      <c r="A3" s="3" t="s">
        <v>59</v>
      </c>
      <c r="B3" s="2"/>
      <c r="C3" s="2"/>
      <c r="D3" s="2"/>
    </row>
    <row r="4" spans="1:4">
      <c r="A4" s="12" t="s">
        <v>73</v>
      </c>
      <c r="B4" s="24"/>
    </row>
    <row r="5" spans="1:4">
      <c r="A5" s="37" t="s">
        <v>76</v>
      </c>
      <c r="B5" s="24"/>
    </row>
    <row r="6" spans="1:4">
      <c r="A6" s="4" t="s">
        <v>5</v>
      </c>
      <c r="B6" s="4" t="s">
        <v>17</v>
      </c>
      <c r="C6" s="9" t="s">
        <v>10</v>
      </c>
      <c r="D6" s="9" t="s">
        <v>50</v>
      </c>
    </row>
    <row r="7" spans="1:4">
      <c r="A7" s="9"/>
      <c r="B7" s="9"/>
      <c r="C7" s="9"/>
      <c r="D7" s="9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</sheetData>
  <mergeCells count="1">
    <mergeCell ref="A1:D1"/>
  </mergeCells>
  <pageMargins left="0.7" right="0.7" top="0.75" bottom="0.75" header="0.3" footer="0.3"/>
  <pageSetup fitToHeight="0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zoomScale="80" zoomScaleNormal="80" workbookViewId="0">
      <selection activeCell="G5" sqref="G5"/>
    </sheetView>
  </sheetViews>
  <sheetFormatPr defaultRowHeight="24"/>
  <cols>
    <col min="1" max="1" width="9.140625" style="1" customWidth="1"/>
    <col min="2" max="2" width="50.5703125" style="1" customWidth="1"/>
    <col min="3" max="3" width="14.5703125" style="1" customWidth="1"/>
    <col min="4" max="4" width="7.85546875" style="1" customWidth="1"/>
    <col min="5" max="5" width="6.85546875" style="1" customWidth="1"/>
    <col min="6" max="6" width="6.28515625" style="1" customWidth="1"/>
    <col min="7" max="7" width="7.5703125" style="1" customWidth="1"/>
    <col min="8" max="8" width="8.85546875" style="1" customWidth="1"/>
    <col min="9" max="9" width="9.140625" style="1" customWidth="1"/>
    <col min="10" max="11" width="9.140625" style="1"/>
    <col min="12" max="12" width="8.140625" style="1" customWidth="1"/>
    <col min="13" max="13" width="6.28515625" style="1" customWidth="1"/>
    <col min="14" max="14" width="6" style="1" customWidth="1"/>
    <col min="15" max="15" width="11.7109375" style="1" customWidth="1"/>
    <col min="16" max="16" width="7.42578125" style="1" customWidth="1"/>
    <col min="17" max="17" width="8" style="1" customWidth="1"/>
    <col min="18" max="19" width="6.140625" style="1" customWidth="1"/>
    <col min="20" max="20" width="11.7109375" style="1" customWidth="1"/>
    <col min="21" max="21" width="9.140625" style="1" customWidth="1"/>
    <col min="22" max="22" width="9" style="1" customWidth="1"/>
    <col min="23" max="24" width="7" style="1" customWidth="1"/>
    <col min="25" max="26" width="11.28515625" style="1" customWidth="1"/>
    <col min="27" max="27" width="10.7109375" style="1" customWidth="1"/>
    <col min="28" max="16384" width="9.140625" style="1"/>
  </cols>
  <sheetData>
    <row r="1" spans="1:5">
      <c r="A1" s="58" t="s">
        <v>113</v>
      </c>
      <c r="B1" s="58"/>
      <c r="C1" s="58"/>
      <c r="D1" s="58"/>
      <c r="E1" s="58"/>
    </row>
    <row r="2" spans="1:5">
      <c r="A2" s="2" t="s">
        <v>0</v>
      </c>
      <c r="B2" s="2"/>
      <c r="C2" s="2"/>
    </row>
    <row r="3" spans="1:5">
      <c r="A3" s="3" t="s">
        <v>77</v>
      </c>
      <c r="B3" s="2"/>
      <c r="C3" s="2"/>
    </row>
    <row r="4" spans="1:5" s="11" customFormat="1">
      <c r="A4" s="37" t="s">
        <v>92</v>
      </c>
      <c r="B4" s="24"/>
    </row>
    <row r="5" spans="1:5">
      <c r="A5" s="25" t="s">
        <v>5</v>
      </c>
      <c r="B5" s="25" t="s">
        <v>78</v>
      </c>
      <c r="C5" s="25" t="s">
        <v>10</v>
      </c>
    </row>
    <row r="6" spans="1:5">
      <c r="A6" s="6"/>
      <c r="B6" s="6"/>
      <c r="C6" s="6"/>
    </row>
    <row r="7" spans="1:5">
      <c r="A7" s="6"/>
      <c r="B7" s="6"/>
      <c r="C7" s="6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zoomScale="80" zoomScaleNormal="80" workbookViewId="0">
      <selection activeCell="D4" sqref="D4"/>
    </sheetView>
  </sheetViews>
  <sheetFormatPr defaultRowHeight="24"/>
  <cols>
    <col min="1" max="1" width="9.140625" style="1" customWidth="1"/>
    <col min="2" max="2" width="50.5703125" style="1" customWidth="1"/>
    <col min="3" max="3" width="14.5703125" style="1" customWidth="1"/>
    <col min="4" max="4" width="7.85546875" style="1" customWidth="1"/>
    <col min="5" max="5" width="6.85546875" style="1" customWidth="1"/>
    <col min="6" max="6" width="6.28515625" style="1" customWidth="1"/>
    <col min="7" max="7" width="7.5703125" style="1" customWidth="1"/>
    <col min="8" max="8" width="8.85546875" style="1" customWidth="1"/>
    <col min="9" max="9" width="9.140625" style="1" customWidth="1"/>
    <col min="10" max="11" width="9.140625" style="1"/>
    <col min="12" max="12" width="8.140625" style="1" customWidth="1"/>
    <col min="13" max="13" width="6.28515625" style="1" customWidth="1"/>
    <col min="14" max="14" width="6" style="1" customWidth="1"/>
    <col min="15" max="15" width="11.7109375" style="1" customWidth="1"/>
    <col min="16" max="16" width="7.42578125" style="1" customWidth="1"/>
    <col min="17" max="17" width="8" style="1" customWidth="1"/>
    <col min="18" max="19" width="6.140625" style="1" customWidth="1"/>
    <col min="20" max="20" width="11.7109375" style="1" customWidth="1"/>
    <col min="21" max="21" width="9.140625" style="1" customWidth="1"/>
    <col min="22" max="22" width="9" style="1" customWidth="1"/>
    <col min="23" max="24" width="7" style="1" customWidth="1"/>
    <col min="25" max="26" width="11.28515625" style="1" customWidth="1"/>
    <col min="27" max="27" width="10.7109375" style="1" customWidth="1"/>
    <col min="28" max="16384" width="9.140625" style="1"/>
  </cols>
  <sheetData>
    <row r="1" spans="1:5">
      <c r="A1" s="58" t="s">
        <v>113</v>
      </c>
      <c r="B1" s="58"/>
      <c r="C1" s="58"/>
      <c r="D1" s="58"/>
      <c r="E1" s="58"/>
    </row>
    <row r="2" spans="1:5">
      <c r="A2" s="2" t="s">
        <v>0</v>
      </c>
      <c r="B2" s="2"/>
      <c r="C2" s="2"/>
    </row>
    <row r="3" spans="1:5">
      <c r="A3" s="3" t="s">
        <v>77</v>
      </c>
      <c r="B3" s="2"/>
      <c r="C3" s="2"/>
    </row>
    <row r="4" spans="1:5" s="11" customFormat="1">
      <c r="A4" s="37" t="s">
        <v>79</v>
      </c>
      <c r="B4" s="24"/>
    </row>
    <row r="5" spans="1:5">
      <c r="A5" s="25" t="s">
        <v>5</v>
      </c>
      <c r="B5" s="25" t="s">
        <v>78</v>
      </c>
      <c r="C5" s="25" t="s">
        <v>10</v>
      </c>
    </row>
    <row r="6" spans="1:5">
      <c r="A6" s="6"/>
      <c r="B6" s="6"/>
      <c r="C6" s="6"/>
    </row>
    <row r="7" spans="1:5">
      <c r="A7" s="6"/>
      <c r="B7" s="6"/>
      <c r="C7" s="6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zoomScale="80" zoomScaleNormal="80" workbookViewId="0">
      <selection activeCell="E5" sqref="E5"/>
    </sheetView>
  </sheetViews>
  <sheetFormatPr defaultRowHeight="24"/>
  <cols>
    <col min="1" max="1" width="9.140625" style="1" customWidth="1"/>
    <col min="2" max="2" width="50.5703125" style="1" customWidth="1"/>
    <col min="3" max="3" width="14.5703125" style="1" customWidth="1"/>
    <col min="4" max="4" width="7.85546875" style="1" customWidth="1"/>
    <col min="5" max="5" width="6.85546875" style="1" customWidth="1"/>
    <col min="6" max="6" width="6.28515625" style="1" customWidth="1"/>
    <col min="7" max="7" width="7.5703125" style="1" customWidth="1"/>
    <col min="8" max="8" width="8.85546875" style="1" customWidth="1"/>
    <col min="9" max="9" width="9.140625" style="1" customWidth="1"/>
    <col min="10" max="11" width="9.140625" style="1"/>
    <col min="12" max="12" width="8.140625" style="1" customWidth="1"/>
    <col min="13" max="13" width="6.28515625" style="1" customWidth="1"/>
    <col min="14" max="14" width="6" style="1" customWidth="1"/>
    <col min="15" max="15" width="11.7109375" style="1" customWidth="1"/>
    <col min="16" max="16" width="7.42578125" style="1" customWidth="1"/>
    <col min="17" max="17" width="8" style="1" customWidth="1"/>
    <col min="18" max="19" width="6.140625" style="1" customWidth="1"/>
    <col min="20" max="20" width="11.7109375" style="1" customWidth="1"/>
    <col min="21" max="21" width="9.140625" style="1" customWidth="1"/>
    <col min="22" max="22" width="9" style="1" customWidth="1"/>
    <col min="23" max="24" width="7" style="1" customWidth="1"/>
    <col min="25" max="26" width="11.28515625" style="1" customWidth="1"/>
    <col min="27" max="27" width="10.7109375" style="1" customWidth="1"/>
    <col min="28" max="16384" width="9.140625" style="1"/>
  </cols>
  <sheetData>
    <row r="1" spans="1:5">
      <c r="A1" s="58" t="s">
        <v>113</v>
      </c>
      <c r="B1" s="58"/>
      <c r="C1" s="58"/>
      <c r="D1" s="58"/>
      <c r="E1" s="58"/>
    </row>
    <row r="2" spans="1:5">
      <c r="A2" s="2" t="s">
        <v>0</v>
      </c>
      <c r="B2" s="2"/>
      <c r="C2" s="2"/>
    </row>
    <row r="3" spans="1:5">
      <c r="A3" s="3" t="s">
        <v>77</v>
      </c>
      <c r="B3" s="2"/>
      <c r="C3" s="2"/>
    </row>
    <row r="4" spans="1:5" s="11" customFormat="1">
      <c r="A4" s="37" t="s">
        <v>80</v>
      </c>
      <c r="B4" s="24"/>
    </row>
    <row r="5" spans="1:5">
      <c r="A5" s="25" t="s">
        <v>5</v>
      </c>
      <c r="B5" s="25" t="s">
        <v>78</v>
      </c>
      <c r="C5" s="25" t="s">
        <v>10</v>
      </c>
    </row>
    <row r="6" spans="1:5">
      <c r="A6" s="6"/>
      <c r="B6" s="6"/>
      <c r="C6" s="6"/>
    </row>
    <row r="7" spans="1:5">
      <c r="A7" s="6"/>
      <c r="B7" s="6"/>
      <c r="C7" s="6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zoomScale="80" zoomScaleNormal="80" workbookViewId="0">
      <selection activeCell="G4" sqref="G4"/>
    </sheetView>
  </sheetViews>
  <sheetFormatPr defaultRowHeight="24"/>
  <cols>
    <col min="1" max="1" width="9.140625" style="1" customWidth="1"/>
    <col min="2" max="2" width="50.5703125" style="1" customWidth="1"/>
    <col min="3" max="3" width="14.5703125" style="1" customWidth="1"/>
    <col min="4" max="4" width="7.85546875" style="1" customWidth="1"/>
    <col min="5" max="5" width="6.85546875" style="1" customWidth="1"/>
    <col min="6" max="6" width="6.28515625" style="1" customWidth="1"/>
    <col min="7" max="7" width="7.5703125" style="1" customWidth="1"/>
    <col min="8" max="8" width="8.85546875" style="1" customWidth="1"/>
    <col min="9" max="9" width="9.140625" style="1" customWidth="1"/>
    <col min="10" max="11" width="9.140625" style="1"/>
    <col min="12" max="12" width="8.140625" style="1" customWidth="1"/>
    <col min="13" max="13" width="6.28515625" style="1" customWidth="1"/>
    <col min="14" max="14" width="6" style="1" customWidth="1"/>
    <col min="15" max="15" width="11.7109375" style="1" customWidth="1"/>
    <col min="16" max="16" width="7.42578125" style="1" customWidth="1"/>
    <col min="17" max="17" width="8" style="1" customWidth="1"/>
    <col min="18" max="19" width="6.140625" style="1" customWidth="1"/>
    <col min="20" max="20" width="11.7109375" style="1" customWidth="1"/>
    <col min="21" max="21" width="9.140625" style="1" customWidth="1"/>
    <col min="22" max="22" width="9" style="1" customWidth="1"/>
    <col min="23" max="24" width="7" style="1" customWidth="1"/>
    <col min="25" max="26" width="11.28515625" style="1" customWidth="1"/>
    <col min="27" max="27" width="10.7109375" style="1" customWidth="1"/>
    <col min="28" max="16384" width="9.140625" style="1"/>
  </cols>
  <sheetData>
    <row r="1" spans="1:5">
      <c r="A1" s="58" t="s">
        <v>113</v>
      </c>
      <c r="B1" s="58"/>
      <c r="C1" s="58"/>
      <c r="D1" s="58"/>
      <c r="E1" s="58"/>
    </row>
    <row r="2" spans="1:5">
      <c r="A2" s="2" t="s">
        <v>0</v>
      </c>
      <c r="B2" s="2"/>
      <c r="C2" s="2"/>
    </row>
    <row r="3" spans="1:5">
      <c r="A3" s="3" t="s">
        <v>77</v>
      </c>
      <c r="B3" s="2"/>
      <c r="C3" s="2"/>
    </row>
    <row r="4" spans="1:5" s="11" customFormat="1">
      <c r="A4" s="37" t="s">
        <v>81</v>
      </c>
      <c r="B4" s="24"/>
    </row>
    <row r="5" spans="1:5">
      <c r="A5" s="25" t="s">
        <v>5</v>
      </c>
      <c r="B5" s="25" t="s">
        <v>78</v>
      </c>
      <c r="C5" s="25" t="s">
        <v>10</v>
      </c>
    </row>
    <row r="6" spans="1:5">
      <c r="A6" s="6"/>
      <c r="B6" s="6"/>
      <c r="C6" s="6"/>
    </row>
    <row r="7" spans="1:5">
      <c r="A7" s="6"/>
      <c r="B7" s="6"/>
      <c r="C7" s="6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zoomScale="80" zoomScaleNormal="80" workbookViewId="0">
      <selection activeCell="G6" sqref="G6"/>
    </sheetView>
  </sheetViews>
  <sheetFormatPr defaultRowHeight="24"/>
  <cols>
    <col min="1" max="1" width="9.140625" style="1" customWidth="1"/>
    <col min="2" max="2" width="50.5703125" style="1" customWidth="1"/>
    <col min="3" max="3" width="14.5703125" style="1" customWidth="1"/>
    <col min="4" max="4" width="7.85546875" style="1" customWidth="1"/>
    <col min="5" max="5" width="6.85546875" style="1" customWidth="1"/>
    <col min="6" max="6" width="6.28515625" style="1" customWidth="1"/>
    <col min="7" max="7" width="7.5703125" style="1" customWidth="1"/>
    <col min="8" max="8" width="8.85546875" style="1" customWidth="1"/>
    <col min="9" max="9" width="9.140625" style="1" customWidth="1"/>
    <col min="10" max="11" width="9.140625" style="1"/>
    <col min="12" max="12" width="8.140625" style="1" customWidth="1"/>
    <col min="13" max="13" width="6.28515625" style="1" customWidth="1"/>
    <col min="14" max="14" width="6" style="1" customWidth="1"/>
    <col min="15" max="15" width="11.7109375" style="1" customWidth="1"/>
    <col min="16" max="16" width="7.42578125" style="1" customWidth="1"/>
    <col min="17" max="17" width="8" style="1" customWidth="1"/>
    <col min="18" max="19" width="6.140625" style="1" customWidth="1"/>
    <col min="20" max="20" width="11.7109375" style="1" customWidth="1"/>
    <col min="21" max="21" width="9.140625" style="1" customWidth="1"/>
    <col min="22" max="22" width="9" style="1" customWidth="1"/>
    <col min="23" max="24" width="7" style="1" customWidth="1"/>
    <col min="25" max="26" width="11.28515625" style="1" customWidth="1"/>
    <col min="27" max="27" width="10.7109375" style="1" customWidth="1"/>
    <col min="28" max="16384" width="9.140625" style="1"/>
  </cols>
  <sheetData>
    <row r="1" spans="1:5">
      <c r="A1" s="58" t="s">
        <v>113</v>
      </c>
      <c r="B1" s="58"/>
      <c r="C1" s="58"/>
      <c r="D1" s="58"/>
      <c r="E1" s="58"/>
    </row>
    <row r="2" spans="1:5">
      <c r="A2" s="2" t="s">
        <v>0</v>
      </c>
      <c r="B2" s="2"/>
      <c r="C2" s="2"/>
    </row>
    <row r="3" spans="1:5">
      <c r="A3" s="31" t="s">
        <v>77</v>
      </c>
      <c r="B3" s="2"/>
      <c r="C3" s="2"/>
    </row>
    <row r="4" spans="1:5" s="11" customFormat="1">
      <c r="A4" s="37" t="s">
        <v>82</v>
      </c>
      <c r="B4" s="24"/>
    </row>
    <row r="5" spans="1:5">
      <c r="A5" s="25" t="s">
        <v>5</v>
      </c>
      <c r="B5" s="25" t="s">
        <v>78</v>
      </c>
      <c r="C5" s="25" t="s">
        <v>10</v>
      </c>
    </row>
    <row r="6" spans="1:5">
      <c r="A6" s="6"/>
      <c r="B6" s="6"/>
      <c r="C6" s="6"/>
    </row>
    <row r="7" spans="1:5">
      <c r="A7" s="6"/>
      <c r="B7" s="6"/>
      <c r="C7" s="6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zoomScale="80" zoomScaleNormal="80" workbookViewId="0">
      <selection activeCell="G4" sqref="G4"/>
    </sheetView>
  </sheetViews>
  <sheetFormatPr defaultRowHeight="24"/>
  <cols>
    <col min="1" max="1" width="9.140625" style="1" customWidth="1"/>
    <col min="2" max="2" width="50.5703125" style="1" customWidth="1"/>
    <col min="3" max="3" width="14.5703125" style="1" customWidth="1"/>
    <col min="4" max="4" width="7.85546875" style="1" customWidth="1"/>
    <col min="5" max="5" width="6.85546875" style="1" customWidth="1"/>
    <col min="6" max="6" width="6.28515625" style="1" customWidth="1"/>
    <col min="7" max="7" width="7.5703125" style="1" customWidth="1"/>
    <col min="8" max="8" width="8.85546875" style="1" customWidth="1"/>
    <col min="9" max="9" width="9.140625" style="1" customWidth="1"/>
    <col min="10" max="11" width="9.140625" style="1"/>
    <col min="12" max="12" width="8.140625" style="1" customWidth="1"/>
    <col min="13" max="13" width="6.28515625" style="1" customWidth="1"/>
    <col min="14" max="14" width="6" style="1" customWidth="1"/>
    <col min="15" max="15" width="11.7109375" style="1" customWidth="1"/>
    <col min="16" max="16" width="7.42578125" style="1" customWidth="1"/>
    <col min="17" max="17" width="8" style="1" customWidth="1"/>
    <col min="18" max="19" width="6.140625" style="1" customWidth="1"/>
    <col min="20" max="20" width="11.7109375" style="1" customWidth="1"/>
    <col min="21" max="21" width="9.140625" style="1" customWidth="1"/>
    <col min="22" max="22" width="9" style="1" customWidth="1"/>
    <col min="23" max="24" width="7" style="1" customWidth="1"/>
    <col min="25" max="26" width="11.28515625" style="1" customWidth="1"/>
    <col min="27" max="27" width="10.7109375" style="1" customWidth="1"/>
    <col min="28" max="16384" width="9.140625" style="1"/>
  </cols>
  <sheetData>
    <row r="1" spans="1:5">
      <c r="A1" s="58" t="s">
        <v>113</v>
      </c>
      <c r="B1" s="58"/>
      <c r="C1" s="58"/>
      <c r="D1" s="58"/>
      <c r="E1" s="58"/>
    </row>
    <row r="2" spans="1:5">
      <c r="A2" s="2" t="s">
        <v>0</v>
      </c>
      <c r="B2" s="2"/>
      <c r="C2" s="2"/>
    </row>
    <row r="3" spans="1:5" s="11" customFormat="1">
      <c r="A3" s="37" t="s">
        <v>101</v>
      </c>
      <c r="B3" s="24"/>
    </row>
    <row r="4" spans="1:5">
      <c r="A4" s="25" t="s">
        <v>5</v>
      </c>
      <c r="B4" s="25" t="s">
        <v>78</v>
      </c>
      <c r="C4" s="25" t="s">
        <v>10</v>
      </c>
    </row>
    <row r="5" spans="1:5">
      <c r="A5" s="6"/>
      <c r="B5" s="6"/>
      <c r="C5" s="6"/>
    </row>
    <row r="6" spans="1:5">
      <c r="A6" s="6"/>
      <c r="B6" s="6"/>
      <c r="C6" s="6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zoomScale="80" zoomScaleNormal="80" workbookViewId="0">
      <selection activeCell="G5" sqref="G5"/>
    </sheetView>
  </sheetViews>
  <sheetFormatPr defaultRowHeight="24"/>
  <cols>
    <col min="1" max="1" width="9.140625" style="1" customWidth="1"/>
    <col min="2" max="2" width="50.5703125" style="1" customWidth="1"/>
    <col min="3" max="3" width="14.5703125" style="1" customWidth="1"/>
    <col min="4" max="4" width="7.85546875" style="1" customWidth="1"/>
    <col min="5" max="5" width="6.85546875" style="1" customWidth="1"/>
    <col min="6" max="6" width="6.28515625" style="1" customWidth="1"/>
    <col min="7" max="7" width="7.5703125" style="1" customWidth="1"/>
    <col min="8" max="8" width="8.85546875" style="1" customWidth="1"/>
    <col min="9" max="9" width="9.140625" style="1" customWidth="1"/>
    <col min="10" max="11" width="9.140625" style="1"/>
    <col min="12" max="12" width="8.140625" style="1" customWidth="1"/>
    <col min="13" max="13" width="6.28515625" style="1" customWidth="1"/>
    <col min="14" max="14" width="6" style="1" customWidth="1"/>
    <col min="15" max="15" width="11.7109375" style="1" customWidth="1"/>
    <col min="16" max="16" width="7.42578125" style="1" customWidth="1"/>
    <col min="17" max="17" width="8" style="1" customWidth="1"/>
    <col min="18" max="19" width="6.140625" style="1" customWidth="1"/>
    <col min="20" max="20" width="11.7109375" style="1" customWidth="1"/>
    <col min="21" max="21" width="9.140625" style="1" customWidth="1"/>
    <col min="22" max="22" width="9" style="1" customWidth="1"/>
    <col min="23" max="24" width="7" style="1" customWidth="1"/>
    <col min="25" max="26" width="11.28515625" style="1" customWidth="1"/>
    <col min="27" max="27" width="10.7109375" style="1" customWidth="1"/>
    <col min="28" max="16384" width="9.140625" style="1"/>
  </cols>
  <sheetData>
    <row r="1" spans="1:5">
      <c r="A1" s="58" t="s">
        <v>113</v>
      </c>
      <c r="B1" s="58"/>
      <c r="C1" s="58"/>
      <c r="D1" s="58"/>
      <c r="E1" s="58"/>
    </row>
    <row r="2" spans="1:5">
      <c r="A2" s="2" t="s">
        <v>0</v>
      </c>
      <c r="B2" s="2"/>
      <c r="C2" s="2"/>
    </row>
    <row r="3" spans="1:5" s="11" customFormat="1">
      <c r="A3" s="37" t="s">
        <v>102</v>
      </c>
      <c r="B3" s="24"/>
    </row>
    <row r="4" spans="1:5">
      <c r="A4" s="25" t="s">
        <v>5</v>
      </c>
      <c r="B4" s="25" t="s">
        <v>78</v>
      </c>
      <c r="C4" s="25" t="s">
        <v>10</v>
      </c>
    </row>
    <row r="5" spans="1:5">
      <c r="A5" s="6"/>
      <c r="B5" s="6"/>
      <c r="C5" s="6"/>
    </row>
    <row r="6" spans="1:5">
      <c r="A6" s="6"/>
      <c r="B6" s="6"/>
      <c r="C6" s="6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tabSelected="1" zoomScale="80" zoomScaleNormal="80" workbookViewId="0">
      <selection activeCell="J13" sqref="J13"/>
    </sheetView>
  </sheetViews>
  <sheetFormatPr defaultRowHeight="24"/>
  <cols>
    <col min="1" max="1" width="9.140625" style="1" customWidth="1"/>
    <col min="2" max="2" width="50.5703125" style="1" customWidth="1"/>
    <col min="3" max="3" width="14.5703125" style="1" customWidth="1"/>
    <col min="4" max="4" width="7.85546875" style="1" customWidth="1"/>
    <col min="5" max="5" width="6.85546875" style="1" customWidth="1"/>
    <col min="6" max="6" width="6.28515625" style="1" customWidth="1"/>
    <col min="7" max="7" width="7.5703125" style="1" customWidth="1"/>
    <col min="8" max="8" width="8.85546875" style="1" customWidth="1"/>
    <col min="9" max="9" width="9.140625" style="1" customWidth="1"/>
    <col min="10" max="11" width="9.140625" style="1"/>
    <col min="12" max="12" width="8.140625" style="1" customWidth="1"/>
    <col min="13" max="13" width="6.28515625" style="1" customWidth="1"/>
    <col min="14" max="14" width="6" style="1" customWidth="1"/>
    <col min="15" max="15" width="11.7109375" style="1" customWidth="1"/>
    <col min="16" max="16" width="7.42578125" style="1" customWidth="1"/>
    <col min="17" max="17" width="8" style="1" customWidth="1"/>
    <col min="18" max="19" width="6.140625" style="1" customWidth="1"/>
    <col min="20" max="20" width="11.7109375" style="1" customWidth="1"/>
    <col min="21" max="21" width="9.140625" style="1" customWidth="1"/>
    <col min="22" max="22" width="9" style="1" customWidth="1"/>
    <col min="23" max="24" width="7" style="1" customWidth="1"/>
    <col min="25" max="26" width="11.28515625" style="1" customWidth="1"/>
    <col min="27" max="27" width="10.7109375" style="1" customWidth="1"/>
    <col min="28" max="16384" width="9.140625" style="1"/>
  </cols>
  <sheetData>
    <row r="1" spans="1:5">
      <c r="A1" s="58" t="s">
        <v>113</v>
      </c>
      <c r="B1" s="58"/>
      <c r="C1" s="58"/>
      <c r="D1" s="58"/>
      <c r="E1" s="58"/>
    </row>
    <row r="2" spans="1:5">
      <c r="A2" s="2" t="s">
        <v>0</v>
      </c>
      <c r="B2" s="2"/>
      <c r="C2" s="2"/>
    </row>
    <row r="3" spans="1:5" s="11" customFormat="1">
      <c r="A3" s="37" t="s">
        <v>103</v>
      </c>
      <c r="B3" s="24"/>
    </row>
    <row r="4" spans="1:5">
      <c r="A4" s="25" t="s">
        <v>5</v>
      </c>
      <c r="B4" s="25" t="s">
        <v>78</v>
      </c>
      <c r="C4" s="25" t="s">
        <v>10</v>
      </c>
    </row>
    <row r="5" spans="1:5">
      <c r="A5" s="6"/>
      <c r="B5" s="6"/>
      <c r="C5" s="6"/>
    </row>
    <row r="6" spans="1:5">
      <c r="A6" s="6"/>
      <c r="B6" s="6"/>
      <c r="C6" s="6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นอกเวลา</vt:lpstr>
      <vt:lpstr>ภาคใต้</vt:lpstr>
      <vt:lpstr>อุตสาหกรรม</vt:lpstr>
      <vt:lpstr>ค่าเบี้ยประชุม</vt:lpstr>
      <vt:lpstr>เกษียณ</vt:lpstr>
      <vt:lpstr>ค่าเบี้ยเลี้ยง</vt:lpstr>
      <vt:lpstr>ประชาสัมพันธ์</vt:lpstr>
      <vt:lpstr>ครุภัณฑ์</vt:lpstr>
      <vt:lpstr>ยานพาหนะ</vt:lpstr>
      <vt:lpstr>อบรม</vt:lpstr>
      <vt:lpstr>ma</vt:lpstr>
      <vt:lpstr>เหมาบริการ</vt:lpstr>
      <vt:lpstr>เงินทดแทน</vt:lpstr>
      <vt:lpstr>ประกันสังคม</vt:lpstr>
      <vt:lpstr>ค่าใช้สอยอื่นๆ</vt:lpstr>
      <vt:lpstr>วัสดุสำนักงาน</vt:lpstr>
      <vt:lpstr>วัสดุเชื้อเพลิง</vt:lpstr>
      <vt:lpstr> ครุภัณ์ สนง</vt:lpstr>
      <vt:lpstr>ครุภัณฑ์ คอม</vt:lpstr>
      <vt:lpstr>ครุภัณฑ์อื่นๆ</vt:lpstr>
      <vt:lpstr>ค่าปรับปรุงสนง</vt:lpstr>
      <vt:lpstr>ค่าก่อสร้างบ้านพักข้าราชการ</vt:lpstr>
      <vt:lpstr>ค่าก่อสร้าง สนง</vt:lpstr>
      <vt:lpstr>อบรมในประเทศ</vt:lpstr>
      <vt:lpstr>ประชุมต่างประเทศ</vt:lpstr>
      <vt:lpstr>จ้างที่ปรึกษา</vt:lpstr>
      <vt:lpstr>ทุนการศึกษา</vt:lpstr>
      <vt:lpstr>ตรวจสุขภาพ </vt:lpstr>
      <vt:lpstr>การคลัง</vt:lpstr>
      <vt:lpstr>พัฒนาบุคลากร</vt:lpstr>
      <vt:lpstr>ธนารักษ์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Bally</dc:creator>
  <cp:lastModifiedBy>Bally</cp:lastModifiedBy>
  <cp:lastPrinted>2020-06-22T05:06:33Z</cp:lastPrinted>
  <dcterms:created xsi:type="dcterms:W3CDTF">2020-04-02T09:24:37Z</dcterms:created>
  <dcterms:modified xsi:type="dcterms:W3CDTF">2020-07-15T09:20:03Z</dcterms:modified>
</cp:coreProperties>
</file>