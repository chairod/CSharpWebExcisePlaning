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nvorinment_Owner\Developments\C#\ASP.NET\Planing-กรมสรรพสามิต\Document\DB Design\"/>
    </mc:Choice>
  </mc:AlternateContent>
  <bookViews>
    <workbookView xWindow="0" yWindow="0" windowWidth="20496" windowHeight="8040"/>
  </bookViews>
  <sheets>
    <sheet name="นอกเวลา" sheetId="1" r:id="rId1"/>
    <sheet name="ภาคใต้" sheetId="24" r:id="rId2"/>
    <sheet name="อุตสาหกรรม" sheetId="25" r:id="rId3"/>
    <sheet name="ค่าเบี้ยประชุม" sheetId="26" r:id="rId4"/>
    <sheet name="เกษียณ" sheetId="2" r:id="rId5"/>
    <sheet name="ค่าเบี้ยเลี้ยง" sheetId="3" r:id="rId6"/>
    <sheet name="ประชาสัมพันธ์" sheetId="4" r:id="rId7"/>
    <sheet name="ครุภัณฑ์" sheetId="5" r:id="rId8"/>
    <sheet name="ยานพาหนะ" sheetId="6" r:id="rId9"/>
    <sheet name="อบรม" sheetId="7" r:id="rId10"/>
    <sheet name="ma" sheetId="27" r:id="rId11"/>
    <sheet name="เหมาบริการ" sheetId="8" r:id="rId12"/>
    <sheet name="เงินทดแทน" sheetId="28" r:id="rId13"/>
    <sheet name="ประกันสังคม" sheetId="9" r:id="rId14"/>
    <sheet name="ค่าใช้สอยอื่นๆ" sheetId="10" r:id="rId15"/>
    <sheet name="วัสดุสำนักงาน" sheetId="11" r:id="rId16"/>
    <sheet name="วัสดุเชื้อเพลิง" sheetId="12" r:id="rId17"/>
    <sheet name=" ครุภัณ์ สนง" sheetId="13" r:id="rId18"/>
    <sheet name="ครุภัณฑ์ คอม" sheetId="14" r:id="rId19"/>
    <sheet name="ครุภัณฑ์อื่นๆ" sheetId="15" r:id="rId20"/>
    <sheet name="ค่าปรับปรุงสนง" sheetId="16" r:id="rId21"/>
    <sheet name="ค่าก่อสร้างบ้านพักข้าราชการ" sheetId="17" r:id="rId22"/>
    <sheet name="ค่าก่อสร้าง สนง" sheetId="18" r:id="rId23"/>
    <sheet name="อบรมในประเทศ" sheetId="19" r:id="rId24"/>
    <sheet name="ประชุมต่างประเทศ" sheetId="20" r:id="rId25"/>
    <sheet name="จ้างที่ปรึกษา" sheetId="21" r:id="rId26"/>
    <sheet name="ทุนการศึกษา" sheetId="22" r:id="rId27"/>
    <sheet name="ตรวจสุขภาพ " sheetId="29" r:id="rId28"/>
    <sheet name="การคลัง" sheetId="23" r:id="rId29"/>
    <sheet name="พัฒนาบุคลากร" sheetId="30" r:id="rId30"/>
    <sheet name="ธนารักษ์" sheetId="31" r:id="rId3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3" l="1"/>
  <c r="J7" i="13" s="1"/>
  <c r="G8" i="12"/>
</calcChain>
</file>

<file path=xl/comments1.xml><?xml version="1.0" encoding="utf-8"?>
<comments xmlns="http://schemas.openxmlformats.org/spreadsheetml/2006/main">
  <authors>
    <author>Bally</author>
  </authors>
  <commentList>
    <comment ref="C7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ข้าราชการ ลูกจ้างประจำ พนักงานราชการ  ลูกจ้างชั่วคราว</t>
        </r>
      </text>
    </comment>
  </commentList>
</comments>
</file>

<file path=xl/comments2.xml><?xml version="1.0" encoding="utf-8"?>
<comments xmlns="http://schemas.openxmlformats.org/spreadsheetml/2006/main">
  <authors>
    <author>Bally</author>
  </authors>
  <commentList>
    <comment ref="C7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ข้าราชการ ลูกจ้างประจำ พนักงานราชการ  ลูกจ้างชั่วคราว</t>
        </r>
      </text>
    </comment>
  </commentList>
</comments>
</file>

<file path=xl/comments3.xml><?xml version="1.0" encoding="utf-8"?>
<comments xmlns="http://schemas.openxmlformats.org/spreadsheetml/2006/main">
  <authors>
    <author>Bally</author>
  </authors>
  <commentList>
    <comment ref="C2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ข้าราชการ ลูกจ้างประจำ พนักงานราชการ  ลูกจ้างชั่วคราว</t>
        </r>
      </text>
    </comment>
    <comment ref="C7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ข้าราชการ ลูกจ้างประจำ พนักงานราชการ  ลูกจ้างชั่วคราว</t>
        </r>
      </text>
    </comment>
    <comment ref="F8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ใช้ 200 ไม่ใช่ 400</t>
        </r>
      </text>
    </comment>
  </commentList>
</comments>
</file>

<file path=xl/comments4.xml><?xml version="1.0" encoding="utf-8"?>
<comments xmlns="http://schemas.openxmlformats.org/spreadsheetml/2006/main">
  <authors>
    <author>Bally</author>
  </authors>
  <commentList>
    <comment ref="B8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ทำdropdown กรณีเลือกผู้ควบคุมต้องระบุชื่อรายการ</t>
        </r>
      </text>
    </comment>
  </commentList>
</comments>
</file>

<file path=xl/comments5.xml><?xml version="1.0" encoding="utf-8"?>
<comments xmlns="http://schemas.openxmlformats.org/spreadsheetml/2006/main">
  <authors>
    <author>Bally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Bally:</t>
        </r>
        <r>
          <rPr>
            <sz val="9"/>
            <color indexed="81"/>
            <rFont val="Tahoma"/>
            <family val="2"/>
          </rPr>
          <t xml:space="preserve">
ทำเหมือนเงิน งบประมาณ</t>
        </r>
      </text>
    </comment>
  </commentList>
</comments>
</file>

<file path=xl/comments6.xml><?xml version="1.0" encoding="utf-8"?>
<comments xmlns="http://schemas.openxmlformats.org/spreadsheetml/2006/main">
  <authors>
    <author>Bally</author>
  </authors>
  <commentList>
    <comment ref="D10" authorId="0" shapeId="0">
      <text>
        <r>
          <rPr>
            <b/>
            <sz val="9"/>
            <color indexed="81"/>
            <rFont val="Tahoma"/>
            <family val="2"/>
          </rPr>
          <t>Bally:</t>
        </r>
        <r>
          <rPr>
            <sz val="9"/>
            <color indexed="81"/>
            <rFont val="Tahoma"/>
            <family val="2"/>
          </rPr>
          <t xml:space="preserve">
เพิ่มอัตราว่าง</t>
        </r>
      </text>
    </comment>
  </commentList>
</comments>
</file>

<file path=xl/sharedStrings.xml><?xml version="1.0" encoding="utf-8"?>
<sst xmlns="http://schemas.openxmlformats.org/spreadsheetml/2006/main" count="382" uniqueCount="134">
  <si>
    <t>คำขอตั้งงบประมาณรายจ่ายประจำปี พ.ศ. .......................</t>
  </si>
  <si>
    <t>หน่วยงาน......................</t>
  </si>
  <si>
    <t>แผนงาน.......................</t>
  </si>
  <si>
    <t>ผลผลิต ...........................................</t>
  </si>
  <si>
    <t>กิจกรรม</t>
  </si>
  <si>
    <t>งบดำเนินงาน</t>
  </si>
  <si>
    <t>ค่าตอบแทน ใช้สอยและวัสดุ</t>
  </si>
  <si>
    <t>ค่าตอบแทน</t>
  </si>
  <si>
    <t>ค่าตอบแทนการปฏิบัติงานนอกเวลาราชการ</t>
  </si>
  <si>
    <t>ลำดับ</t>
  </si>
  <si>
    <t>ชื่อ-สกุล</t>
  </si>
  <si>
    <t>วันธรรมดา (วัน)</t>
  </si>
  <si>
    <t>ชั่วโมง/วัน</t>
  </si>
  <si>
    <t>อัตรา</t>
  </si>
  <si>
    <t>จำนวน (บาท)</t>
  </si>
  <si>
    <t>วันหยุดราชการ (วัน)</t>
  </si>
  <si>
    <t>รวมทั้งสิ้น (บาท)</t>
  </si>
  <si>
    <t>รวมทั้งสิ้น</t>
  </si>
  <si>
    <t>หมายเหตุ ธรรมดาไม่เกิน 4 ชม./วัน</t>
  </si>
  <si>
    <t>วันหยุดและวันหยุดนักขัตฤกษ์ 7 ชม./วัน</t>
  </si>
  <si>
    <t>ค่าใช้สอย</t>
  </si>
  <si>
    <t>รายการ</t>
  </si>
  <si>
    <t>ค่าตอบแทนอื่นๆ</t>
  </si>
  <si>
    <t>ระดับ</t>
  </si>
  <si>
    <t>ครั้ง</t>
  </si>
  <si>
    <t>ค่าเบี้ยเลี้ยง</t>
  </si>
  <si>
    <t>ค่าเช่าที่พัก</t>
  </si>
  <si>
    <t>ค่าพาหนะและค่าน้ำมัน</t>
  </si>
  <si>
    <t>รวมทั้งสิ้น
(บาท)</t>
  </si>
  <si>
    <t>คน</t>
  </si>
  <si>
    <t>วัน</t>
  </si>
  <si>
    <t>คืน</t>
  </si>
  <si>
    <t>สูงกว่าชำนาญการพิเศษ</t>
  </si>
  <si>
    <t>ชำนาญการพิเศษลงมา</t>
  </si>
  <si>
    <t>ค่าใช้จ่ายในการประชาสัมพันธ์</t>
  </si>
  <si>
    <t>ค่าซ่อมแซมครุภัณฑ์</t>
  </si>
  <si>
    <t>จำนวนทั้งหมดที่มีอยู่</t>
  </si>
  <si>
    <t>จำนวนที่ขอซ่อม</t>
  </si>
  <si>
    <t>ราคาซ่อมโดยเฉลี่ย/เครื่อง</t>
  </si>
  <si>
    <t>ค่าซ่อมแซมยานพาหนะและขนส่ง</t>
  </si>
  <si>
    <t>ประเภทยานพาหนะ</t>
  </si>
  <si>
    <t>ทะเบียนยานพาหนะราชการ</t>
  </si>
  <si>
    <t>วัน/เดือน/ปี จดทะเบียน</t>
  </si>
  <si>
    <t>อายุการใช้งาน(ปี/เดือน</t>
  </si>
  <si>
    <t>จำนวนเงิน (บาท)</t>
  </si>
  <si>
    <t>รถยนต์</t>
  </si>
  <si>
    <t>ค่าใช้จ่ายในการอบรม/สัมมนา</t>
  </si>
  <si>
    <t/>
  </si>
  <si>
    <t>รายละเอียด</t>
  </si>
  <si>
    <t>งบรายจ่าย/โครงการ/หลักสูตร/รายการ</t>
  </si>
  <si>
    <t>ครั้ง/รุ่น</t>
  </si>
  <si>
    <t>จำนวนผู้เข้ารับการฝึกอบรม (คน)</t>
  </si>
  <si>
    <t>ระบุจำนวน/หน่วยนับ</t>
  </si>
  <si>
    <t>อัตราค่าใช้จ่ายที่ตั้ง</t>
  </si>
  <si>
    <t>รวมเงิน</t>
  </si>
  <si>
    <t>สถานที่ดำเนินการ</t>
  </si>
  <si>
    <r>
      <rPr>
        <sz val="16"/>
        <color rgb="FF000000"/>
        <rFont val="TH SarabunPSK"/>
      </rPr>
      <t xml:space="preserve">คำชี้แจง (เหตุผลความจำเป็น
</t>
    </r>
    <r>
      <rPr>
        <sz val="16"/>
        <color rgb="FF000000"/>
        <rFont val="TH SarabunPSK"/>
      </rPr>
      <t>และผลประโยชน์ที่จะได้รับ)</t>
    </r>
  </si>
  <si>
    <r>
      <rPr>
        <sz val="16"/>
        <color rgb="FF000000"/>
        <rFont val="TH SarabunPSK"/>
      </rPr>
      <t xml:space="preserve">ประเภท 
</t>
    </r>
    <r>
      <rPr>
        <sz val="16"/>
        <color rgb="FF000000"/>
        <rFont val="TH SarabunPSK"/>
      </rPr>
      <t>ก</t>
    </r>
  </si>
  <si>
    <r>
      <rPr>
        <sz val="16"/>
        <color rgb="FF000000"/>
        <rFont val="TH SarabunPSK"/>
      </rPr>
      <t xml:space="preserve">ประเภท 
</t>
    </r>
    <r>
      <rPr>
        <sz val="16"/>
        <color rgb="FF000000"/>
        <rFont val="TH SarabunPSK"/>
      </rPr>
      <t>ข</t>
    </r>
  </si>
  <si>
    <r>
      <rPr>
        <sz val="16"/>
        <color rgb="FF000000"/>
        <rFont val="TH SarabunPSK"/>
      </rPr>
      <t xml:space="preserve">บุคคล
</t>
    </r>
    <r>
      <rPr>
        <sz val="16"/>
        <color rgb="FF000000"/>
        <rFont val="TH SarabunPSK"/>
      </rPr>
      <t>ภายนอก</t>
    </r>
  </si>
  <si>
    <t>รวม</t>
  </si>
  <si>
    <t>จำนวน</t>
  </si>
  <si>
    <t>หน่วยนับ</t>
  </si>
  <si>
    <r>
      <rPr>
        <sz val="16"/>
        <color rgb="FF000000"/>
        <rFont val="TH SarabunPSK"/>
      </rPr>
      <t xml:space="preserve">อัตรา
</t>
    </r>
    <r>
      <rPr>
        <sz val="16"/>
        <color rgb="FF000000"/>
        <rFont val="TH SarabunPSK"/>
      </rPr>
      <t>ค่าใช้จ่าย</t>
    </r>
  </si>
  <si>
    <t>ราชการ</t>
  </si>
  <si>
    <t>เอกชน</t>
  </si>
  <si>
    <t>ค่าจ้างเหมาบริการ</t>
  </si>
  <si>
    <t>เงินสมทบประกันสังคม</t>
  </si>
  <si>
    <t>ตำแหน่ง</t>
  </si>
  <si>
    <t>อัตราเงินเดือน</t>
  </si>
  <si>
    <t>ต่อเดือน</t>
  </si>
  <si>
    <t>ต่อปี</t>
  </si>
  <si>
    <t>ค่าใช้สอยอื่นๆ</t>
  </si>
  <si>
    <t>หมายเหตุ</t>
  </si>
  <si>
    <t>ค่าวัสดุ</t>
  </si>
  <si>
    <t>ค่าวัสดุสำนักงาน</t>
  </si>
  <si>
    <t>ราคาต่อหน่วย</t>
  </si>
  <si>
    <t>ค่าน้ำมันเชื้อเพลิงและหล่อลื่น</t>
  </si>
  <si>
    <t>คัน</t>
  </si>
  <si>
    <t>วัน/เดือน</t>
  </si>
  <si>
    <t>ลิตร/คัน/เดือน</t>
  </si>
  <si>
    <t>ลิตรละ</t>
  </si>
  <si>
    <t>งบลงทุน</t>
  </si>
  <si>
    <t>ชื่อรายการ</t>
  </si>
  <si>
    <t>คุณลักษณะของครุภัณฑ์ (Spec)</t>
  </si>
  <si>
    <t xml:space="preserve">กรอบครุภัณฑ์ </t>
  </si>
  <si>
    <t>วัตถุประสงค์ในการขอ</t>
  </si>
  <si>
    <r>
      <rPr>
        <sz val="16"/>
        <color rgb="FF000000"/>
        <rFont val="TH SarabunPSK"/>
        <family val="2"/>
      </rPr>
      <t xml:space="preserve">ราคา
</t>
    </r>
    <r>
      <rPr>
        <sz val="16"/>
        <color rgb="FF000000"/>
        <rFont val="TH SarabunPSK"/>
        <family val="2"/>
      </rPr>
      <t xml:space="preserve">ต่อหน่วย/ชุด
</t>
    </r>
    <r>
      <rPr>
        <sz val="16"/>
        <color rgb="FF000000"/>
        <rFont val="TH SarabunPSK"/>
        <family val="2"/>
      </rPr>
      <t xml:space="preserve"> (บาท)</t>
    </r>
  </si>
  <si>
    <r>
      <rPr>
        <sz val="16"/>
        <color rgb="FF000000"/>
        <rFont val="TH SarabunPSK"/>
        <family val="2"/>
      </rPr>
      <t xml:space="preserve">ราคารวม
</t>
    </r>
    <r>
      <rPr>
        <sz val="16"/>
        <color rgb="FF000000"/>
        <rFont val="TH SarabunPSK"/>
        <family val="2"/>
      </rPr>
      <t>(บาท)</t>
    </r>
  </si>
  <si>
    <t>ปัญหา อุปสรรค เหตุผลจำเป็นที่ต้องจัดหาครุภัณฑ์นี้
*(ต้องระบุให้ชัดเจนเพื่อใช้ประกอบการชี้แจงสำนักงบประมาณ)</t>
  </si>
  <si>
    <t>ราคามาตรฐานครุภัณฑ์</t>
  </si>
  <si>
    <t>ไม่กำหนดราคามาตรฐานครุภัณฑ์</t>
  </si>
  <si>
    <t>ความต้องการ</t>
  </si>
  <si>
    <t>จำนวนที่มีอยู่</t>
  </si>
  <si>
    <t>เพิ่มเติม</t>
  </si>
  <si>
    <t>ทดแทนของเดิม</t>
  </si>
  <si>
    <t>ครุภัณฑ์คอมพิวเตอร์</t>
  </si>
  <si>
    <t>ที่ดิน สิ่งก่อสร้าง</t>
  </si>
  <si>
    <t>ค่าปรับปรุงสำนักงานและบ้านพักข้าราชการ</t>
  </si>
  <si>
    <t>ค่าก่อสร้างบ้านพักราชการ</t>
  </si>
  <si>
    <t>ค่าก่อสร้างอาคารสำนักงาน อาคารชุดพักอาศัย</t>
  </si>
  <si>
    <t>งบรายจ่ายอื่น</t>
  </si>
  <si>
    <t xml:space="preserve">รายการ </t>
  </si>
  <si>
    <t>ค่าใช้จ่ายในการประชุมต่างประเทศ</t>
  </si>
  <si>
    <t>ค่าจ้างที่ปรึกษา</t>
  </si>
  <si>
    <t>ค่าทุนการศึกษาต่อ</t>
  </si>
  <si>
    <t>โครงการตรวจสุขภาพ</t>
  </si>
  <si>
    <t>ประเภทบุคลากร</t>
  </si>
  <si>
    <t>อัตราต่อเดือน</t>
  </si>
  <si>
    <t>ชื่อ นามสกุล</t>
  </si>
  <si>
    <t>ค่าตอบแทนข้าราชการเกษียณ</t>
  </si>
  <si>
    <t>ยานพาหนะราชการ</t>
  </si>
  <si>
    <t>ค่าตอบแทนบุคคลหรือคณะกรรมการ</t>
  </si>
  <si>
    <t>คณะกรรมการ/ผู้ควบคุมงาน</t>
  </si>
  <si>
    <t>ตำแหน่ง (ก่อนเกษียณ)</t>
  </si>
  <si>
    <t>เงินสมทบกองทุนเงินทดแทน</t>
  </si>
  <si>
    <t>(หมายเหตุ)</t>
  </si>
  <si>
    <t>ค่าใช้จ่ายในการอบรมต่างประเทศ</t>
  </si>
  <si>
    <t>ค่าตอบแทนการปฏิบัติงาน 3 จังหวัดชายแดนใต้</t>
  </si>
  <si>
    <t>ค่าตรวจปฏิบัติการโรงงานอุตสาหกรรรม</t>
  </si>
  <si>
    <t xml:space="preserve">ค่าเบี้ยเลี้ยง </t>
  </si>
  <si>
    <t>เลขที่สัญญา</t>
  </si>
  <si>
    <t>วันที่ของสัญญา</t>
  </si>
  <si>
    <t>วันสิ้นสุดระยะประกัน</t>
  </si>
  <si>
    <t>วงเงินตามสัญญา</t>
  </si>
  <si>
    <t>ปีที่บำรุงรักษา</t>
  </si>
  <si>
    <t>อัตรา(บาท)</t>
  </si>
  <si>
    <t>อัตรา (บาท)</t>
  </si>
  <si>
    <t>โอนให้สำนักงานปลัดกระทรวงการคลัง</t>
  </si>
  <si>
    <t>โอนให้กองทุนพัฒนาบุคลากร</t>
  </si>
  <si>
    <t>โอนให้กรมธนารักษ์</t>
  </si>
  <si>
    <t>ค่าจ้างเหมาบริการ บำรุงรักษาคอมพิวเตอร์</t>
  </si>
  <si>
    <t>ครุภัณฑ์สำนักงาน</t>
  </si>
  <si>
    <t>ครุภัณฑ์อื่นๆ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</si>
</sst>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[$-10409]#,##0;\-#,##0"/>
    <numFmt numFmtId="166" formatCode="_-* #,##0_-;\-* #,##0_-;_-* &quot;-&quot;??_-;_-@_-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rgb="FF000000"/>
      <name val="TH SarabunPSK"/>
    </font>
    <font>
      <sz val="11"/>
      <name val="Calibri"/>
    </font>
    <font>
      <b/>
      <sz val="16"/>
      <color rgb="FF000000"/>
      <name val="TH SarabunPSK"/>
    </font>
    <font>
      <sz val="10"/>
      <color rgb="FF000000"/>
      <name val="Arial"/>
    </font>
    <font>
      <sz val="16"/>
      <color rgb="FFFF0000"/>
      <name val="TH SarabunPSK"/>
      <family val="2"/>
    </font>
    <font>
      <sz val="16"/>
      <color rgb="FF000000"/>
      <name val="TH SarabunPSK"/>
      <family val="2"/>
    </font>
    <font>
      <sz val="11"/>
      <name val="Calibri"/>
      <family val="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charset val="222"/>
      <scheme val="minor"/>
    </font>
    <font>
      <b/>
      <sz val="16"/>
      <color rgb="FFFF0000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3D3D3"/>
      </patternFill>
    </fill>
    <fill>
      <patternFill patternType="solid">
        <fgColor theme="0"/>
        <bgColor rgb="FFFFFFFF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2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3" fillId="4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horizontal="left" vertical="top"/>
    </xf>
    <xf numFmtId="0" fontId="0" fillId="4" borderId="0" xfId="0" applyFill="1"/>
    <xf numFmtId="0" fontId="4" fillId="4" borderId="20" xfId="0" applyNumberFormat="1" applyFont="1" applyFill="1" applyBorder="1" applyAlignment="1">
      <alignment horizontal="center" vertical="center" wrapText="1" readingOrder="1"/>
    </xf>
    <xf numFmtId="0" fontId="4" fillId="4" borderId="20" xfId="0" applyNumberFormat="1" applyFont="1" applyFill="1" applyBorder="1" applyAlignment="1">
      <alignment horizontal="center" vertical="top" wrapText="1" readingOrder="1"/>
    </xf>
    <xf numFmtId="0" fontId="4" fillId="5" borderId="20" xfId="0" applyNumberFormat="1" applyFont="1" applyFill="1" applyBorder="1" applyAlignment="1">
      <alignment horizontal="left" vertical="top" wrapText="1" readingOrder="1"/>
    </xf>
    <xf numFmtId="0" fontId="4" fillId="5" borderId="20" xfId="0" applyNumberFormat="1" applyFont="1" applyFill="1" applyBorder="1" applyAlignment="1">
      <alignment horizontal="center" vertical="top" wrapText="1" readingOrder="1"/>
    </xf>
    <xf numFmtId="0" fontId="5" fillId="4" borderId="14" xfId="0" applyNumberFormat="1" applyFont="1" applyFill="1" applyBorder="1" applyAlignment="1">
      <alignment vertical="top" wrapText="1"/>
    </xf>
    <xf numFmtId="0" fontId="5" fillId="4" borderId="16" xfId="0" applyNumberFormat="1" applyFont="1" applyFill="1" applyBorder="1" applyAlignment="1">
      <alignment vertical="top" wrapText="1"/>
    </xf>
    <xf numFmtId="0" fontId="5" fillId="4" borderId="15" xfId="0" applyNumberFormat="1" applyFont="1" applyFill="1" applyBorder="1" applyAlignment="1">
      <alignment vertical="top" wrapText="1"/>
    </xf>
    <xf numFmtId="0" fontId="5" fillId="4" borderId="21" xfId="0" applyNumberFormat="1" applyFont="1" applyFill="1" applyBorder="1" applyAlignment="1">
      <alignment vertical="top" wrapText="1"/>
    </xf>
    <xf numFmtId="0" fontId="5" fillId="4" borderId="0" xfId="0" applyFont="1" applyFill="1" applyBorder="1"/>
    <xf numFmtId="0" fontId="5" fillId="4" borderId="22" xfId="0" applyNumberFormat="1" applyFont="1" applyFill="1" applyBorder="1" applyAlignment="1">
      <alignment vertical="top" wrapText="1"/>
    </xf>
    <xf numFmtId="0" fontId="5" fillId="4" borderId="24" xfId="0" applyNumberFormat="1" applyFont="1" applyFill="1" applyBorder="1" applyAlignment="1">
      <alignment vertical="top" wrapText="1"/>
    </xf>
    <xf numFmtId="0" fontId="5" fillId="4" borderId="18" xfId="0" applyNumberFormat="1" applyFont="1" applyFill="1" applyBorder="1" applyAlignment="1">
      <alignment vertical="top" wrapText="1"/>
    </xf>
    <xf numFmtId="0" fontId="5" fillId="4" borderId="19" xfId="0" applyNumberFormat="1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2" borderId="3" xfId="0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vertical="top"/>
    </xf>
    <xf numFmtId="0" fontId="8" fillId="0" borderId="1" xfId="0" applyFont="1" applyFill="1" applyBorder="1" applyAlignment="1">
      <alignment vertical="top"/>
    </xf>
    <xf numFmtId="0" fontId="3" fillId="0" borderId="0" xfId="0" applyFont="1" applyFill="1" applyAlignment="1">
      <alignment horizontal="left" vertical="top"/>
    </xf>
    <xf numFmtId="0" fontId="9" fillId="0" borderId="25" xfId="0" applyNumberFormat="1" applyFont="1" applyFill="1" applyBorder="1" applyAlignment="1">
      <alignment horizontal="center" vertical="top" wrapText="1" readingOrder="1"/>
    </xf>
    <xf numFmtId="0" fontId="9" fillId="0" borderId="7" xfId="0" applyNumberFormat="1" applyFont="1" applyFill="1" applyBorder="1" applyAlignment="1">
      <alignment horizontal="center" vertical="top" wrapText="1" readingOrder="1"/>
    </xf>
    <xf numFmtId="0" fontId="9" fillId="0" borderId="27" xfId="0" applyNumberFormat="1" applyFont="1" applyFill="1" applyBorder="1" applyAlignment="1">
      <alignment horizontal="center" vertical="top" wrapText="1" readingOrder="1"/>
    </xf>
    <xf numFmtId="0" fontId="9" fillId="0" borderId="14" xfId="0" applyNumberFormat="1" applyFont="1" applyFill="1" applyBorder="1" applyAlignment="1">
      <alignment horizontal="center" vertical="top" wrapText="1" readingOrder="1"/>
    </xf>
    <xf numFmtId="0" fontId="9" fillId="0" borderId="28" xfId="0" applyNumberFormat="1" applyFont="1" applyFill="1" applyBorder="1" applyAlignment="1">
      <alignment horizontal="center" vertical="top" wrapText="1" readingOrder="1"/>
    </xf>
    <xf numFmtId="0" fontId="9" fillId="0" borderId="1" xfId="0" applyNumberFormat="1" applyFont="1" applyFill="1" applyBorder="1" applyAlignment="1">
      <alignment horizontal="center" vertical="top" wrapText="1" readingOrder="1"/>
    </xf>
    <xf numFmtId="0" fontId="9" fillId="0" borderId="13" xfId="0" applyNumberFormat="1" applyFont="1" applyFill="1" applyBorder="1" applyAlignment="1">
      <alignment horizontal="center" vertical="top" wrapText="1" readingOrder="1"/>
    </xf>
    <xf numFmtId="164" fontId="3" fillId="0" borderId="1" xfId="1" applyFont="1" applyFill="1" applyBorder="1" applyAlignment="1">
      <alignment vertical="top"/>
    </xf>
    <xf numFmtId="0" fontId="3" fillId="4" borderId="0" xfId="0" applyFont="1" applyFill="1" applyAlignment="1">
      <alignment horizontal="left" vertical="top"/>
    </xf>
    <xf numFmtId="0" fontId="3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0" fontId="3" fillId="2" borderId="3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16" fillId="0" borderId="0" xfId="0" applyFont="1" applyFill="1" applyAlignment="1">
      <alignment vertical="top"/>
    </xf>
    <xf numFmtId="0" fontId="15" fillId="0" borderId="0" xfId="0" applyFont="1" applyAlignment="1">
      <alignment vertical="top"/>
    </xf>
    <xf numFmtId="0" fontId="16" fillId="4" borderId="0" xfId="0" applyFont="1" applyFill="1" applyAlignment="1">
      <alignment vertical="top"/>
    </xf>
    <xf numFmtId="0" fontId="2" fillId="0" borderId="0" xfId="0" applyFont="1" applyFill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center" vertical="top"/>
    </xf>
    <xf numFmtId="0" fontId="4" fillId="4" borderId="5" xfId="0" applyNumberFormat="1" applyFont="1" applyFill="1" applyBorder="1" applyAlignment="1">
      <alignment horizontal="center" vertical="center" wrapText="1" readingOrder="1"/>
    </xf>
    <xf numFmtId="0" fontId="4" fillId="4" borderId="6" xfId="0" applyNumberFormat="1" applyFont="1" applyFill="1" applyBorder="1" applyAlignment="1">
      <alignment horizontal="center" vertical="center" wrapText="1" readingOrder="1"/>
    </xf>
    <xf numFmtId="0" fontId="4" fillId="4" borderId="7" xfId="0" applyNumberFormat="1" applyFont="1" applyFill="1" applyBorder="1" applyAlignment="1">
      <alignment horizontal="center" vertical="center" wrapText="1" readingOrder="1"/>
    </xf>
    <xf numFmtId="0" fontId="4" fillId="4" borderId="8" xfId="0" applyNumberFormat="1" applyFont="1" applyFill="1" applyBorder="1" applyAlignment="1">
      <alignment horizontal="center" vertical="center" wrapText="1" readingOrder="1"/>
    </xf>
    <xf numFmtId="0" fontId="4" fillId="4" borderId="9" xfId="0" applyNumberFormat="1" applyFont="1" applyFill="1" applyBorder="1" applyAlignment="1">
      <alignment horizontal="center" vertical="center" wrapText="1" readingOrder="1"/>
    </xf>
    <xf numFmtId="0" fontId="4" fillId="4" borderId="10" xfId="0" applyNumberFormat="1" applyFont="1" applyFill="1" applyBorder="1" applyAlignment="1">
      <alignment horizontal="center" vertical="center" wrapText="1" readingOrder="1"/>
    </xf>
    <xf numFmtId="0" fontId="4" fillId="4" borderId="11" xfId="0" applyNumberFormat="1" applyFont="1" applyFill="1" applyBorder="1" applyAlignment="1">
      <alignment horizontal="center" vertical="center" wrapText="1" readingOrder="1"/>
    </xf>
    <xf numFmtId="0" fontId="4" fillId="4" borderId="12" xfId="0" applyNumberFormat="1" applyFont="1" applyFill="1" applyBorder="1" applyAlignment="1">
      <alignment horizontal="center" vertical="center" wrapText="1" readingOrder="1"/>
    </xf>
    <xf numFmtId="0" fontId="4" fillId="4" borderId="13" xfId="0" applyNumberFormat="1" applyFont="1" applyFill="1" applyBorder="1" applyAlignment="1">
      <alignment horizontal="center" vertical="center" wrapText="1" readingOrder="1"/>
    </xf>
    <xf numFmtId="0" fontId="4" fillId="4" borderId="14" xfId="0" applyNumberFormat="1" applyFont="1" applyFill="1" applyBorder="1" applyAlignment="1">
      <alignment horizontal="center" vertical="center" wrapText="1" readingOrder="1"/>
    </xf>
    <xf numFmtId="0" fontId="4" fillId="4" borderId="15" xfId="0" applyNumberFormat="1" applyFont="1" applyFill="1" applyBorder="1" applyAlignment="1">
      <alignment horizontal="center" vertical="center" wrapText="1" readingOrder="1"/>
    </xf>
    <xf numFmtId="0" fontId="4" fillId="4" borderId="16" xfId="0" applyNumberFormat="1" applyFont="1" applyFill="1" applyBorder="1" applyAlignment="1">
      <alignment horizontal="center" vertical="center" wrapText="1" readingOrder="1"/>
    </xf>
    <xf numFmtId="0" fontId="4" fillId="4" borderId="20" xfId="0" applyNumberFormat="1" applyFont="1" applyFill="1" applyBorder="1" applyAlignment="1">
      <alignment horizontal="center" vertical="top" wrapText="1" readingOrder="1"/>
    </xf>
    <xf numFmtId="0" fontId="5" fillId="4" borderId="9" xfId="0" applyNumberFormat="1" applyFont="1" applyFill="1" applyBorder="1" applyAlignment="1">
      <alignment vertical="top" wrapText="1"/>
    </xf>
    <xf numFmtId="0" fontId="5" fillId="4" borderId="10" xfId="0" applyNumberFormat="1" applyFont="1" applyFill="1" applyBorder="1" applyAlignment="1">
      <alignment vertical="top" wrapText="1"/>
    </xf>
    <xf numFmtId="0" fontId="4" fillId="4" borderId="17" xfId="0" applyNumberFormat="1" applyFont="1" applyFill="1" applyBorder="1" applyAlignment="1">
      <alignment horizontal="center" vertical="top" wrapText="1" readingOrder="1"/>
    </xf>
    <xf numFmtId="0" fontId="5" fillId="4" borderId="18" xfId="0" applyNumberFormat="1" applyFont="1" applyFill="1" applyBorder="1" applyAlignment="1">
      <alignment vertical="top" wrapText="1"/>
    </xf>
    <xf numFmtId="0" fontId="5" fillId="4" borderId="19" xfId="0" applyNumberFormat="1" applyFont="1" applyFill="1" applyBorder="1" applyAlignment="1">
      <alignment vertical="top" wrapText="1"/>
    </xf>
    <xf numFmtId="0" fontId="4" fillId="4" borderId="20" xfId="0" applyNumberFormat="1" applyFont="1" applyFill="1" applyBorder="1" applyAlignment="1">
      <alignment horizontal="center" vertical="center" wrapText="1" readingOrder="1"/>
    </xf>
    <xf numFmtId="0" fontId="6" fillId="5" borderId="20" xfId="0" applyNumberFormat="1" applyFont="1" applyFill="1" applyBorder="1" applyAlignment="1">
      <alignment horizontal="center" vertical="top" wrapText="1" readingOrder="1"/>
    </xf>
    <xf numFmtId="0" fontId="4" fillId="5" borderId="20" xfId="0" applyNumberFormat="1" applyFont="1" applyFill="1" applyBorder="1" applyAlignment="1">
      <alignment horizontal="center" vertical="top" wrapText="1" readingOrder="1"/>
    </xf>
    <xf numFmtId="0" fontId="4" fillId="5" borderId="20" xfId="0" applyNumberFormat="1" applyFont="1" applyFill="1" applyBorder="1" applyAlignment="1">
      <alignment horizontal="left" vertical="top" wrapText="1" readingOrder="1"/>
    </xf>
    <xf numFmtId="0" fontId="4" fillId="5" borderId="20" xfId="0" applyNumberFormat="1" applyFont="1" applyFill="1" applyBorder="1" applyAlignment="1">
      <alignment horizontal="right" vertical="top" wrapText="1" readingOrder="1"/>
    </xf>
    <xf numFmtId="165" fontId="4" fillId="5" borderId="20" xfId="0" applyNumberFormat="1" applyFont="1" applyFill="1" applyBorder="1" applyAlignment="1">
      <alignment horizontal="right" vertical="top" wrapText="1" readingOrder="1"/>
    </xf>
    <xf numFmtId="0" fontId="7" fillId="5" borderId="20" xfId="0" applyNumberFormat="1" applyFont="1" applyFill="1" applyBorder="1" applyAlignment="1">
      <alignment vertical="top" wrapText="1" readingOrder="1"/>
    </xf>
    <xf numFmtId="0" fontId="4" fillId="4" borderId="20" xfId="0" applyNumberFormat="1" applyFont="1" applyFill="1" applyBorder="1" applyAlignment="1">
      <alignment horizontal="left" vertical="top" wrapText="1" readingOrder="1"/>
    </xf>
    <xf numFmtId="0" fontId="5" fillId="4" borderId="16" xfId="0" applyNumberFormat="1" applyFont="1" applyFill="1" applyBorder="1" applyAlignment="1">
      <alignment vertical="top" wrapText="1"/>
    </xf>
    <xf numFmtId="0" fontId="5" fillId="4" borderId="15" xfId="0" applyNumberFormat="1" applyFont="1" applyFill="1" applyBorder="1" applyAlignment="1">
      <alignment vertical="top" wrapText="1"/>
    </xf>
    <xf numFmtId="0" fontId="5" fillId="4" borderId="21" xfId="0" applyNumberFormat="1" applyFont="1" applyFill="1" applyBorder="1" applyAlignment="1">
      <alignment vertical="top" wrapText="1"/>
    </xf>
    <xf numFmtId="0" fontId="5" fillId="4" borderId="0" xfId="0" applyFont="1" applyFill="1" applyBorder="1"/>
    <xf numFmtId="0" fontId="5" fillId="4" borderId="22" xfId="0" applyNumberFormat="1" applyFont="1" applyFill="1" applyBorder="1" applyAlignment="1">
      <alignment vertical="top" wrapText="1"/>
    </xf>
    <xf numFmtId="0" fontId="5" fillId="4" borderId="24" xfId="0" applyNumberFormat="1" applyFont="1" applyFill="1" applyBorder="1" applyAlignment="1">
      <alignment vertical="top" wrapText="1"/>
    </xf>
    <xf numFmtId="165" fontId="4" fillId="4" borderId="20" xfId="0" applyNumberFormat="1" applyFont="1" applyFill="1" applyBorder="1" applyAlignment="1">
      <alignment horizontal="center" vertical="top" wrapText="1" readingOrder="1"/>
    </xf>
    <xf numFmtId="0" fontId="5" fillId="4" borderId="23" xfId="0" applyNumberFormat="1" applyFont="1" applyFill="1" applyBorder="1" applyAlignment="1">
      <alignment vertical="top" wrapText="1"/>
    </xf>
    <xf numFmtId="0" fontId="5" fillId="4" borderId="17" xfId="0" applyNumberFormat="1" applyFont="1" applyFill="1" applyBorder="1" applyAlignment="1">
      <alignment vertical="top" wrapText="1"/>
    </xf>
    <xf numFmtId="0" fontId="4" fillId="4" borderId="20" xfId="0" applyNumberFormat="1" applyFont="1" applyFill="1" applyBorder="1" applyAlignment="1">
      <alignment horizontal="right" vertical="top" wrapText="1" readingOrder="1"/>
    </xf>
    <xf numFmtId="165" fontId="4" fillId="4" borderId="20" xfId="0" applyNumberFormat="1" applyFont="1" applyFill="1" applyBorder="1" applyAlignment="1">
      <alignment horizontal="right" vertical="top" wrapText="1" readingOrder="1"/>
    </xf>
    <xf numFmtId="0" fontId="4" fillId="6" borderId="20" xfId="0" applyNumberFormat="1" applyFont="1" applyFill="1" applyBorder="1" applyAlignment="1">
      <alignment horizontal="left" vertical="top" wrapText="1" readingOrder="1"/>
    </xf>
    <xf numFmtId="0" fontId="5" fillId="6" borderId="21" xfId="0" applyNumberFormat="1" applyFont="1" applyFill="1" applyBorder="1" applyAlignment="1">
      <alignment vertical="top" wrapText="1"/>
    </xf>
    <xf numFmtId="0" fontId="5" fillId="6" borderId="24" xfId="0" applyNumberFormat="1" applyFont="1" applyFill="1" applyBorder="1" applyAlignment="1">
      <alignment vertical="top" wrapText="1"/>
    </xf>
    <xf numFmtId="0" fontId="2" fillId="0" borderId="0" xfId="0" applyFont="1" applyFill="1" applyAlignment="1">
      <alignment horizontal="left" vertical="top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top" wrapText="1" readingOrder="1"/>
    </xf>
    <xf numFmtId="0" fontId="9" fillId="0" borderId="20" xfId="0" applyNumberFormat="1" applyFont="1" applyFill="1" applyBorder="1" applyAlignment="1">
      <alignment horizontal="center" vertical="top" wrapText="1" readingOrder="1"/>
    </xf>
    <xf numFmtId="0" fontId="10" fillId="0" borderId="9" xfId="0" applyNumberFormat="1" applyFont="1" applyFill="1" applyBorder="1" applyAlignment="1">
      <alignment vertical="top" wrapText="1"/>
    </xf>
    <xf numFmtId="0" fontId="9" fillId="0" borderId="2" xfId="0" applyNumberFormat="1" applyFont="1" applyFill="1" applyBorder="1" applyAlignment="1">
      <alignment horizontal="center" vertical="top" wrapText="1" readingOrder="1"/>
    </xf>
    <xf numFmtId="0" fontId="9" fillId="0" borderId="26" xfId="0" applyNumberFormat="1" applyFont="1" applyFill="1" applyBorder="1" applyAlignment="1">
      <alignment horizontal="center"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3"/>
  <sheetViews>
    <sheetView tabSelected="1" zoomScale="90" zoomScaleNormal="90" workbookViewId="0">
      <selection activeCell="C10" sqref="C10"/>
    </sheetView>
  </sheetViews>
  <sheetFormatPr defaultColWidth="9.109375" defaultRowHeight="20.399999999999999"/>
  <cols>
    <col min="1" max="1" width="6.109375" style="1" customWidth="1"/>
    <col min="2" max="4" width="23.33203125" style="1" customWidth="1"/>
    <col min="5" max="5" width="23" style="1" customWidth="1"/>
    <col min="6" max="6" width="16.109375" style="1" customWidth="1"/>
    <col min="7" max="7" width="13.44140625" style="1" customWidth="1"/>
    <col min="8" max="8" width="21.5546875" style="1" customWidth="1"/>
    <col min="9" max="9" width="24.5546875" style="1" customWidth="1"/>
    <col min="10" max="10" width="18.6640625" style="1" customWidth="1"/>
    <col min="11" max="11" width="14.44140625" style="1" customWidth="1"/>
    <col min="12" max="12" width="15.109375" style="1" customWidth="1"/>
    <col min="13" max="13" width="15.6640625" style="1" customWidth="1"/>
    <col min="14" max="16384" width="9.109375" style="1"/>
  </cols>
  <sheetData>
    <row r="1" spans="1:13" ht="21">
      <c r="A1" s="70" t="s">
        <v>0</v>
      </c>
      <c r="B1" s="70"/>
      <c r="C1" s="70"/>
      <c r="D1" s="70"/>
      <c r="E1" s="70"/>
      <c r="F1" s="70"/>
    </row>
    <row r="2" spans="1:13" ht="21">
      <c r="A2" s="2" t="s">
        <v>1</v>
      </c>
      <c r="B2" s="2"/>
      <c r="C2" s="2"/>
      <c r="D2" s="2"/>
      <c r="E2" s="2"/>
      <c r="F2" s="2"/>
    </row>
    <row r="3" spans="1:13" ht="21">
      <c r="A3" s="3" t="s">
        <v>5</v>
      </c>
      <c r="B3" s="2"/>
      <c r="C3" s="2"/>
      <c r="D3" s="2"/>
      <c r="E3" s="2"/>
      <c r="F3" s="2"/>
    </row>
    <row r="4" spans="1:13" ht="21">
      <c r="A4" s="3" t="s">
        <v>6</v>
      </c>
      <c r="B4" s="2"/>
      <c r="C4" s="2"/>
      <c r="D4" s="2"/>
      <c r="E4" s="2"/>
      <c r="F4" s="2"/>
    </row>
    <row r="5" spans="1:13" ht="21">
      <c r="A5" s="3" t="s">
        <v>7</v>
      </c>
      <c r="B5" s="2"/>
      <c r="C5" s="2"/>
      <c r="D5" s="2"/>
      <c r="E5" s="2"/>
      <c r="F5" s="2"/>
    </row>
    <row r="6" spans="1:13" ht="21">
      <c r="A6" s="67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21">
      <c r="A7" s="4" t="s">
        <v>9</v>
      </c>
      <c r="B7" s="5" t="s">
        <v>10</v>
      </c>
      <c r="C7" s="13" t="s">
        <v>107</v>
      </c>
      <c r="D7" s="5" t="s">
        <v>68</v>
      </c>
      <c r="E7" s="5" t="s">
        <v>11</v>
      </c>
      <c r="F7" s="5" t="s">
        <v>12</v>
      </c>
      <c r="G7" s="4" t="s">
        <v>13</v>
      </c>
      <c r="H7" s="4" t="s">
        <v>14</v>
      </c>
      <c r="I7" s="5" t="s">
        <v>15</v>
      </c>
      <c r="J7" s="5" t="s">
        <v>12</v>
      </c>
      <c r="K7" s="4" t="s">
        <v>13</v>
      </c>
      <c r="L7" s="4" t="s">
        <v>14</v>
      </c>
      <c r="M7" s="4" t="s">
        <v>16</v>
      </c>
    </row>
    <row r="8" spans="1:13">
      <c r="A8" s="6">
        <v>1</v>
      </c>
      <c r="B8" s="7"/>
      <c r="C8" s="7"/>
      <c r="D8" s="7"/>
      <c r="E8" s="7"/>
      <c r="F8" s="7"/>
      <c r="G8" s="6">
        <v>50</v>
      </c>
      <c r="H8" s="6"/>
      <c r="I8" s="7"/>
      <c r="J8" s="7"/>
      <c r="K8" s="6">
        <v>60</v>
      </c>
      <c r="L8" s="6"/>
      <c r="M8" s="6"/>
    </row>
    <row r="9" spans="1:13">
      <c r="A9" s="6">
        <v>2</v>
      </c>
      <c r="B9" s="7"/>
      <c r="C9" s="7"/>
      <c r="D9" s="7"/>
      <c r="E9" s="7"/>
      <c r="F9" s="7"/>
      <c r="G9" s="6"/>
      <c r="H9" s="6"/>
      <c r="I9" s="7"/>
      <c r="J9" s="7"/>
      <c r="K9" s="6"/>
      <c r="L9" s="6"/>
      <c r="M9" s="6"/>
    </row>
    <row r="10" spans="1:13" ht="21">
      <c r="A10" s="8"/>
      <c r="B10" s="9" t="s">
        <v>17</v>
      </c>
      <c r="C10" s="9"/>
      <c r="D10" s="8"/>
      <c r="E10" s="8"/>
      <c r="F10" s="8"/>
      <c r="G10" s="8"/>
      <c r="H10" s="8"/>
      <c r="I10" s="10"/>
      <c r="J10" s="10"/>
      <c r="K10" s="8"/>
      <c r="L10" s="8"/>
      <c r="M10" s="8"/>
    </row>
    <row r="12" spans="1:13">
      <c r="A12" s="1" t="s">
        <v>18</v>
      </c>
    </row>
    <row r="13" spans="1:13">
      <c r="B13" s="1" t="s">
        <v>19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"/>
  <sheetViews>
    <sheetView workbookViewId="0">
      <selection activeCell="A6" sqref="A6"/>
    </sheetView>
  </sheetViews>
  <sheetFormatPr defaultRowHeight="14.4"/>
  <cols>
    <col min="2" max="2" width="20.44140625" customWidth="1"/>
    <col min="3" max="4" width="16" customWidth="1"/>
    <col min="5" max="5" width="17" customWidth="1"/>
    <col min="7" max="7" width="14" customWidth="1"/>
  </cols>
  <sheetData>
    <row r="1" spans="1:7" s="1" customFormat="1" ht="21">
      <c r="A1" s="70" t="s">
        <v>0</v>
      </c>
      <c r="B1" s="70"/>
      <c r="C1" s="70"/>
      <c r="D1" s="70"/>
      <c r="E1" s="70"/>
      <c r="F1" s="70"/>
    </row>
    <row r="2" spans="1:7" s="1" customFormat="1" ht="21">
      <c r="A2" s="2" t="s">
        <v>1</v>
      </c>
      <c r="B2" s="2"/>
      <c r="C2" s="2"/>
      <c r="D2" s="2"/>
      <c r="E2" s="2"/>
      <c r="F2" s="2"/>
    </row>
    <row r="3" spans="1:7" s="1" customFormat="1" ht="21">
      <c r="A3" s="59" t="s">
        <v>5</v>
      </c>
      <c r="B3" s="2"/>
      <c r="C3" s="2"/>
      <c r="D3" s="2"/>
      <c r="E3" s="2"/>
      <c r="F3" s="2"/>
    </row>
    <row r="4" spans="1:7" s="1" customFormat="1" ht="21">
      <c r="A4" s="59" t="s">
        <v>6</v>
      </c>
      <c r="B4" s="2"/>
      <c r="C4" s="2"/>
      <c r="D4" s="2"/>
      <c r="E4" s="2"/>
      <c r="F4" s="2"/>
    </row>
    <row r="5" spans="1:7" s="1" customFormat="1" ht="21">
      <c r="A5" s="59" t="s">
        <v>7</v>
      </c>
      <c r="B5" s="2"/>
      <c r="C5" s="2"/>
      <c r="D5" s="2"/>
      <c r="E5" s="2"/>
      <c r="F5" s="2"/>
    </row>
    <row r="6" spans="1:7" ht="20.25" customHeight="1">
      <c r="A6" s="68" t="s">
        <v>118</v>
      </c>
    </row>
    <row r="7" spans="1:7" ht="21">
      <c r="A7" s="12" t="s">
        <v>9</v>
      </c>
      <c r="B7" s="13" t="s">
        <v>10</v>
      </c>
      <c r="C7" s="13" t="s">
        <v>107</v>
      </c>
      <c r="D7" s="52" t="s">
        <v>68</v>
      </c>
      <c r="E7" s="12" t="s">
        <v>108</v>
      </c>
      <c r="F7" s="12" t="s">
        <v>71</v>
      </c>
      <c r="G7" s="12" t="s">
        <v>14</v>
      </c>
    </row>
    <row r="8" spans="1:7" ht="20.399999999999999">
      <c r="A8" s="6">
        <v>1</v>
      </c>
      <c r="B8" s="7"/>
      <c r="C8" s="7"/>
      <c r="D8" s="7"/>
      <c r="E8" s="6"/>
      <c r="F8" s="6"/>
      <c r="G8" s="6"/>
    </row>
    <row r="9" spans="1:7" ht="20.399999999999999">
      <c r="A9" s="6">
        <v>2</v>
      </c>
      <c r="B9" s="7"/>
      <c r="C9" s="7"/>
      <c r="D9" s="7"/>
      <c r="E9" s="6"/>
      <c r="F9" s="6"/>
      <c r="G9" s="6"/>
    </row>
    <row r="10" spans="1:7" ht="21">
      <c r="A10" s="8"/>
      <c r="B10" s="9" t="s">
        <v>17</v>
      </c>
      <c r="C10" s="8"/>
      <c r="D10" s="8"/>
      <c r="E10" s="10"/>
      <c r="F10" s="8"/>
      <c r="G10" s="8"/>
    </row>
  </sheetData>
  <mergeCells count="1">
    <mergeCell ref="A1:F1"/>
  </mergeCells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"/>
  <sheetViews>
    <sheetView zoomScale="90" zoomScaleNormal="90" workbookViewId="0">
      <selection activeCell="F11" sqref="F11"/>
    </sheetView>
  </sheetViews>
  <sheetFormatPr defaultColWidth="9.109375" defaultRowHeight="20.399999999999999"/>
  <cols>
    <col min="1" max="1" width="6.109375" style="1" customWidth="1"/>
    <col min="2" max="2" width="48.5546875" style="1" customWidth="1"/>
    <col min="3" max="3" width="27.33203125" customWidth="1"/>
    <col min="4" max="4" width="16" customWidth="1"/>
    <col min="5" max="5" width="9.109375" style="1"/>
    <col min="6" max="6" width="27.6640625" style="1" customWidth="1"/>
    <col min="7" max="7" width="10.109375" style="1" customWidth="1"/>
    <col min="8" max="8" width="18" style="1" customWidth="1"/>
    <col min="9" max="16384" width="9.109375" style="1"/>
  </cols>
  <sheetData>
    <row r="1" spans="1:8" ht="21">
      <c r="A1" s="70" t="s">
        <v>0</v>
      </c>
      <c r="B1" s="70"/>
      <c r="C1" s="70"/>
      <c r="D1" s="70"/>
    </row>
    <row r="2" spans="1:8" ht="21">
      <c r="A2" s="2" t="s">
        <v>1</v>
      </c>
      <c r="B2" s="2"/>
      <c r="C2" s="60"/>
      <c r="D2" s="60"/>
    </row>
    <row r="3" spans="1:8" ht="21">
      <c r="A3" s="35" t="s">
        <v>5</v>
      </c>
      <c r="B3" s="2"/>
      <c r="C3" s="61"/>
      <c r="D3" s="61"/>
    </row>
    <row r="4" spans="1:8" ht="21">
      <c r="A4" s="35" t="s">
        <v>6</v>
      </c>
      <c r="B4" s="2"/>
      <c r="C4" s="61"/>
      <c r="D4" s="61"/>
    </row>
    <row r="5" spans="1:8" ht="21">
      <c r="A5" s="35" t="s">
        <v>7</v>
      </c>
      <c r="B5" s="2"/>
      <c r="C5" s="62"/>
      <c r="D5" s="62"/>
    </row>
    <row r="6" spans="1:8" ht="26.25" customHeight="1">
      <c r="A6" s="67" t="s">
        <v>119</v>
      </c>
      <c r="B6" s="2"/>
    </row>
    <row r="7" spans="1:8" ht="24" customHeight="1">
      <c r="A7" s="71" t="s">
        <v>9</v>
      </c>
      <c r="B7" s="71" t="s">
        <v>109</v>
      </c>
      <c r="C7" s="72" t="s">
        <v>107</v>
      </c>
      <c r="D7" s="72" t="s">
        <v>68</v>
      </c>
      <c r="E7" s="71" t="s">
        <v>7</v>
      </c>
      <c r="F7" s="71"/>
      <c r="G7" s="71"/>
      <c r="H7" s="71"/>
    </row>
    <row r="8" spans="1:8" ht="21">
      <c r="A8" s="71"/>
      <c r="B8" s="71"/>
      <c r="C8" s="72"/>
      <c r="D8" s="72"/>
      <c r="E8" s="15" t="s">
        <v>30</v>
      </c>
      <c r="F8" s="15" t="s">
        <v>111</v>
      </c>
      <c r="G8" s="14" t="s">
        <v>13</v>
      </c>
      <c r="H8" s="14" t="s">
        <v>14</v>
      </c>
    </row>
    <row r="9" spans="1:8">
      <c r="A9" s="73">
        <v>1</v>
      </c>
      <c r="B9" s="73"/>
      <c r="C9" s="63"/>
      <c r="D9" s="63"/>
      <c r="E9" s="7"/>
      <c r="F9" s="7"/>
      <c r="G9" s="6"/>
      <c r="H9" s="6"/>
    </row>
    <row r="10" spans="1:8">
      <c r="A10" s="73"/>
      <c r="B10" s="73"/>
      <c r="C10" s="63"/>
      <c r="D10" s="63"/>
      <c r="E10" s="6"/>
      <c r="F10" s="6"/>
      <c r="G10" s="6"/>
      <c r="H10" s="6"/>
    </row>
  </sheetData>
  <mergeCells count="8">
    <mergeCell ref="A1:D1"/>
    <mergeCell ref="A7:A8"/>
    <mergeCell ref="B7:B8"/>
    <mergeCell ref="E7:H7"/>
    <mergeCell ref="C7:C8"/>
    <mergeCell ref="D7:D8"/>
    <mergeCell ref="B9:B10"/>
    <mergeCell ref="A9:A1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1"/>
  <sheetViews>
    <sheetView workbookViewId="0">
      <selection activeCell="C12" sqref="C12"/>
    </sheetView>
  </sheetViews>
  <sheetFormatPr defaultColWidth="9.109375" defaultRowHeight="20.399999999999999"/>
  <cols>
    <col min="1" max="1" width="6.109375" style="1" customWidth="1"/>
    <col min="2" max="2" width="51.77734375" style="1" customWidth="1"/>
    <col min="3" max="3" width="30.5546875" style="1" customWidth="1"/>
    <col min="4" max="16384" width="9.109375" style="1"/>
  </cols>
  <sheetData>
    <row r="1" spans="1:3" ht="21">
      <c r="A1" s="70" t="s">
        <v>0</v>
      </c>
      <c r="B1" s="70"/>
    </row>
    <row r="2" spans="1:3" ht="21">
      <c r="A2" s="2" t="s">
        <v>1</v>
      </c>
      <c r="B2" s="2"/>
    </row>
    <row r="3" spans="1:3" ht="21">
      <c r="A3" s="35" t="s">
        <v>5</v>
      </c>
      <c r="B3" s="2"/>
    </row>
    <row r="4" spans="1:3" ht="21">
      <c r="A4" s="35" t="s">
        <v>6</v>
      </c>
      <c r="B4" s="2"/>
    </row>
    <row r="5" spans="1:3" ht="21">
      <c r="A5" s="35" t="s">
        <v>7</v>
      </c>
      <c r="B5" s="2"/>
    </row>
    <row r="6" spans="1:3" ht="21">
      <c r="A6" s="2" t="s">
        <v>22</v>
      </c>
      <c r="B6" s="2"/>
    </row>
    <row r="7" spans="1:3" ht="21">
      <c r="A7" s="67" t="s">
        <v>112</v>
      </c>
      <c r="B7" s="2"/>
    </row>
    <row r="8" spans="1:3" ht="21">
      <c r="A8" s="12" t="s">
        <v>9</v>
      </c>
      <c r="B8" s="64" t="s">
        <v>113</v>
      </c>
      <c r="C8" s="12" t="s">
        <v>14</v>
      </c>
    </row>
    <row r="9" spans="1:3">
      <c r="A9" s="65">
        <v>1</v>
      </c>
      <c r="B9" s="54"/>
      <c r="C9" s="6"/>
    </row>
    <row r="10" spans="1:3">
      <c r="A10" s="6">
        <v>2</v>
      </c>
      <c r="B10" s="7"/>
      <c r="C10" s="6"/>
    </row>
    <row r="11" spans="1:3" ht="21">
      <c r="A11" s="8"/>
      <c r="B11" s="9" t="s">
        <v>17</v>
      </c>
      <c r="C11" s="8"/>
    </row>
  </sheetData>
  <mergeCells count="1">
    <mergeCell ref="A1:B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7" sqref="A7"/>
    </sheetView>
  </sheetViews>
  <sheetFormatPr defaultColWidth="9.109375" defaultRowHeight="20.399999999999999"/>
  <cols>
    <col min="1" max="1" width="6.109375" style="1" customWidth="1"/>
    <col min="2" max="2" width="41.109375" style="1" customWidth="1"/>
    <col min="3" max="3" width="22.88671875" style="1" customWidth="1"/>
    <col min="4" max="5" width="19" style="1" customWidth="1"/>
    <col min="6" max="6" width="12.6640625" style="1" customWidth="1"/>
    <col min="7" max="16384" width="9.109375" style="1"/>
  </cols>
  <sheetData>
    <row r="1" spans="1:6" ht="21">
      <c r="A1" s="70" t="s">
        <v>0</v>
      </c>
      <c r="B1" s="70"/>
      <c r="C1" s="70"/>
      <c r="D1" s="70"/>
      <c r="E1" s="70"/>
    </row>
    <row r="2" spans="1:6" ht="21">
      <c r="A2" s="2" t="s">
        <v>1</v>
      </c>
      <c r="B2" s="2"/>
      <c r="C2" s="2"/>
      <c r="D2" s="2"/>
      <c r="E2" s="2"/>
    </row>
    <row r="3" spans="1:6" ht="21">
      <c r="A3" s="3" t="s">
        <v>5</v>
      </c>
      <c r="B3" s="2"/>
      <c r="C3" s="2"/>
      <c r="D3" s="2"/>
      <c r="E3" s="2"/>
    </row>
    <row r="4" spans="1:6" ht="21">
      <c r="A4" s="3" t="s">
        <v>6</v>
      </c>
      <c r="B4" s="2"/>
      <c r="C4" s="2"/>
      <c r="D4" s="2"/>
      <c r="E4" s="2"/>
    </row>
    <row r="5" spans="1:6" ht="21">
      <c r="A5" s="3" t="s">
        <v>7</v>
      </c>
      <c r="B5" s="2"/>
      <c r="C5" s="2"/>
      <c r="D5" s="2"/>
      <c r="E5" s="2"/>
    </row>
    <row r="6" spans="1:6" ht="21">
      <c r="A6" s="2" t="s">
        <v>22</v>
      </c>
      <c r="B6" s="2"/>
    </row>
    <row r="7" spans="1:6" ht="21">
      <c r="A7" s="67" t="s">
        <v>110</v>
      </c>
      <c r="B7" s="2"/>
    </row>
    <row r="8" spans="1:6" ht="21">
      <c r="A8" s="12" t="s">
        <v>9</v>
      </c>
      <c r="B8" s="13" t="s">
        <v>10</v>
      </c>
      <c r="C8" s="13" t="s">
        <v>114</v>
      </c>
      <c r="D8" s="12" t="s">
        <v>108</v>
      </c>
      <c r="E8" s="12" t="s">
        <v>71</v>
      </c>
      <c r="F8" s="12" t="s">
        <v>14</v>
      </c>
    </row>
    <row r="9" spans="1:6">
      <c r="A9" s="6">
        <v>1</v>
      </c>
      <c r="B9" s="7"/>
      <c r="C9" s="7"/>
      <c r="D9" s="6"/>
      <c r="E9" s="6"/>
      <c r="F9" s="6"/>
    </row>
    <row r="10" spans="1:6">
      <c r="A10" s="6">
        <v>2</v>
      </c>
      <c r="B10" s="7"/>
      <c r="C10" s="7"/>
      <c r="D10" s="6"/>
      <c r="E10" s="6"/>
      <c r="F10" s="6"/>
    </row>
    <row r="11" spans="1:6" ht="21">
      <c r="A11" s="8"/>
      <c r="B11" s="9" t="s">
        <v>17</v>
      </c>
      <c r="C11" s="8"/>
      <c r="D11" s="10"/>
      <c r="E11" s="8"/>
      <c r="F11" s="8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zoomScale="80" zoomScaleNormal="80" workbookViewId="0">
      <selection activeCell="M1" sqref="M1"/>
    </sheetView>
  </sheetViews>
  <sheetFormatPr defaultColWidth="9.109375" defaultRowHeight="20.399999999999999"/>
  <cols>
    <col min="1" max="1" width="6.109375" style="1" customWidth="1"/>
    <col min="2" max="2" width="46.33203125" style="1" customWidth="1"/>
    <col min="3" max="3" width="23.5546875" style="1" customWidth="1"/>
    <col min="4" max="4" width="13.6640625" style="1" customWidth="1"/>
    <col min="5" max="5" width="9.5546875" style="1" customWidth="1"/>
    <col min="6" max="7" width="9.109375" style="1"/>
    <col min="8" max="8" width="19.21875" style="1" customWidth="1"/>
    <col min="9" max="11" width="9.109375" style="1"/>
    <col min="12" max="12" width="19.77734375" style="1" customWidth="1"/>
    <col min="13" max="13" width="19.21875" style="1" customWidth="1"/>
    <col min="14" max="14" width="14.33203125" style="1" customWidth="1"/>
    <col min="15" max="16384" width="9.109375" style="1"/>
  </cols>
  <sheetData>
    <row r="1" spans="1:14" ht="21">
      <c r="A1" s="70" t="s">
        <v>0</v>
      </c>
      <c r="B1" s="70"/>
      <c r="C1" s="70"/>
      <c r="D1" s="70"/>
      <c r="E1" s="70"/>
    </row>
    <row r="2" spans="1:14" ht="21">
      <c r="A2" s="2" t="s">
        <v>1</v>
      </c>
      <c r="B2" s="2"/>
      <c r="C2" s="2"/>
      <c r="D2" s="2"/>
      <c r="E2" s="2"/>
    </row>
    <row r="3" spans="1:14" ht="21">
      <c r="A3" s="3" t="s">
        <v>5</v>
      </c>
      <c r="B3" s="2"/>
      <c r="C3" s="2"/>
      <c r="D3" s="2"/>
      <c r="E3" s="2"/>
    </row>
    <row r="4" spans="1:14" ht="21">
      <c r="A4" s="3" t="s">
        <v>6</v>
      </c>
      <c r="B4" s="2"/>
      <c r="C4" s="2"/>
      <c r="D4" s="2"/>
      <c r="E4" s="2"/>
    </row>
    <row r="5" spans="1:14" ht="21">
      <c r="A5" s="3" t="s">
        <v>20</v>
      </c>
      <c r="B5" s="2"/>
      <c r="C5" s="2"/>
      <c r="D5" s="2"/>
      <c r="E5" s="2"/>
    </row>
    <row r="6" spans="1:14" ht="21">
      <c r="A6" s="67" t="s">
        <v>120</v>
      </c>
      <c r="B6" s="2"/>
      <c r="C6" s="2"/>
      <c r="D6" s="2"/>
      <c r="E6" s="2"/>
    </row>
    <row r="7" spans="1:14" ht="24" customHeight="1">
      <c r="A7" s="71" t="s">
        <v>9</v>
      </c>
      <c r="B7" s="71" t="s">
        <v>21</v>
      </c>
      <c r="C7" s="72" t="s">
        <v>23</v>
      </c>
      <c r="D7" s="72" t="s">
        <v>24</v>
      </c>
      <c r="E7" s="71" t="s">
        <v>25</v>
      </c>
      <c r="F7" s="71"/>
      <c r="G7" s="71"/>
      <c r="H7" s="71"/>
      <c r="I7" s="73" t="s">
        <v>26</v>
      </c>
      <c r="J7" s="73"/>
      <c r="K7" s="73"/>
      <c r="L7" s="73"/>
      <c r="M7" s="74" t="s">
        <v>27</v>
      </c>
      <c r="N7" s="76" t="s">
        <v>28</v>
      </c>
    </row>
    <row r="8" spans="1:14" ht="21">
      <c r="A8" s="71"/>
      <c r="B8" s="71"/>
      <c r="C8" s="72"/>
      <c r="D8" s="72"/>
      <c r="E8" s="5" t="s">
        <v>29</v>
      </c>
      <c r="F8" s="15" t="s">
        <v>30</v>
      </c>
      <c r="G8" s="11" t="s">
        <v>13</v>
      </c>
      <c r="H8" s="11" t="s">
        <v>14</v>
      </c>
      <c r="I8" s="5" t="s">
        <v>29</v>
      </c>
      <c r="J8" s="15" t="s">
        <v>31</v>
      </c>
      <c r="K8" s="11" t="s">
        <v>13</v>
      </c>
      <c r="L8" s="11" t="s">
        <v>14</v>
      </c>
      <c r="M8" s="75"/>
      <c r="N8" s="73"/>
    </row>
    <row r="9" spans="1:14" ht="21">
      <c r="A9" s="73">
        <v>1</v>
      </c>
      <c r="B9" s="77"/>
      <c r="C9" s="15" t="s">
        <v>32</v>
      </c>
      <c r="D9" s="7"/>
      <c r="E9" s="7"/>
      <c r="F9" s="7"/>
      <c r="G9" s="6">
        <v>270</v>
      </c>
      <c r="H9" s="6"/>
      <c r="I9" s="7"/>
      <c r="J9" s="7"/>
      <c r="K9" s="6">
        <v>1200</v>
      </c>
      <c r="L9" s="6"/>
      <c r="M9" s="7"/>
      <c r="N9" s="6"/>
    </row>
    <row r="10" spans="1:14" ht="21">
      <c r="A10" s="73"/>
      <c r="B10" s="77"/>
      <c r="C10" s="15" t="s">
        <v>33</v>
      </c>
      <c r="D10" s="7"/>
      <c r="E10" s="7"/>
      <c r="F10" s="7"/>
      <c r="G10" s="6">
        <v>240</v>
      </c>
      <c r="H10" s="6"/>
      <c r="I10" s="7"/>
      <c r="J10" s="7"/>
      <c r="K10" s="6">
        <v>800</v>
      </c>
      <c r="L10" s="6"/>
      <c r="M10" s="7"/>
      <c r="N10" s="6"/>
    </row>
  </sheetData>
  <mergeCells count="11">
    <mergeCell ref="I7:L7"/>
    <mergeCell ref="M7:M8"/>
    <mergeCell ref="N7:N8"/>
    <mergeCell ref="A9:A10"/>
    <mergeCell ref="B9:B10"/>
    <mergeCell ref="A1:E1"/>
    <mergeCell ref="A7:A8"/>
    <mergeCell ref="B7:B8"/>
    <mergeCell ref="C7:C8"/>
    <mergeCell ref="D7:D8"/>
    <mergeCell ref="E7:H7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80" zoomScaleNormal="80" workbookViewId="0">
      <selection activeCell="A6" sqref="A6"/>
    </sheetView>
  </sheetViews>
  <sheetFormatPr defaultColWidth="9.109375" defaultRowHeight="20.399999999999999"/>
  <cols>
    <col min="1" max="1" width="6.109375" style="1" customWidth="1"/>
    <col min="2" max="2" width="61.44140625" style="1" customWidth="1"/>
    <col min="3" max="5" width="19" style="1" customWidth="1"/>
    <col min="6" max="16384" width="9.109375" style="1"/>
  </cols>
  <sheetData>
    <row r="1" spans="1:5" ht="21">
      <c r="A1" s="70" t="s">
        <v>0</v>
      </c>
      <c r="B1" s="70"/>
      <c r="C1" s="70"/>
      <c r="D1" s="70"/>
      <c r="E1" s="70"/>
    </row>
    <row r="2" spans="1:5" ht="21">
      <c r="A2" s="2" t="s">
        <v>1</v>
      </c>
      <c r="B2" s="2"/>
      <c r="C2" s="2"/>
      <c r="D2" s="2"/>
      <c r="E2" s="2"/>
    </row>
    <row r="3" spans="1:5" ht="21">
      <c r="A3" s="3" t="s">
        <v>5</v>
      </c>
      <c r="B3" s="2"/>
      <c r="C3" s="2"/>
      <c r="D3" s="2"/>
      <c r="E3" s="2"/>
    </row>
    <row r="4" spans="1:5" ht="21">
      <c r="A4" s="3" t="s">
        <v>6</v>
      </c>
      <c r="B4" s="2"/>
      <c r="C4" s="2"/>
      <c r="D4" s="2"/>
      <c r="E4" s="2"/>
    </row>
    <row r="5" spans="1:5" ht="21">
      <c r="A5" s="3" t="s">
        <v>20</v>
      </c>
      <c r="B5" s="2"/>
      <c r="C5" s="2"/>
      <c r="D5" s="2"/>
      <c r="E5" s="2"/>
    </row>
    <row r="6" spans="1:5" ht="21">
      <c r="A6" s="67" t="s">
        <v>34</v>
      </c>
      <c r="B6" s="2"/>
    </row>
    <row r="7" spans="1:5" ht="24" customHeight="1">
      <c r="A7" s="4" t="s">
        <v>9</v>
      </c>
      <c r="B7" s="4" t="s">
        <v>21</v>
      </c>
      <c r="C7" s="11" t="s">
        <v>14</v>
      </c>
    </row>
    <row r="8" spans="1:5" ht="21">
      <c r="A8" s="11"/>
      <c r="B8" s="11"/>
      <c r="C8" s="11"/>
    </row>
    <row r="9" spans="1:5">
      <c r="A9" s="6"/>
      <c r="B9" s="6"/>
      <c r="C9" s="6"/>
    </row>
    <row r="10" spans="1:5">
      <c r="A10" s="6"/>
      <c r="B10" s="6"/>
      <c r="C10" s="6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A6" sqref="A6"/>
    </sheetView>
  </sheetViews>
  <sheetFormatPr defaultColWidth="9.109375" defaultRowHeight="20.399999999999999"/>
  <cols>
    <col min="1" max="1" width="6.109375" style="1" customWidth="1"/>
    <col min="2" max="2" width="46.33203125" style="1" customWidth="1"/>
    <col min="3" max="3" width="17.6640625" style="1" customWidth="1"/>
    <col min="4" max="4" width="17.44140625" style="1" customWidth="1"/>
    <col min="5" max="5" width="22.6640625" style="1" customWidth="1"/>
    <col min="6" max="6" width="17.109375" style="1" customWidth="1"/>
    <col min="7" max="16384" width="9.109375" style="1"/>
  </cols>
  <sheetData>
    <row r="1" spans="1:6" ht="21">
      <c r="A1" s="70" t="s">
        <v>0</v>
      </c>
      <c r="B1" s="70"/>
      <c r="C1" s="70"/>
      <c r="D1" s="70"/>
      <c r="E1" s="70"/>
    </row>
    <row r="2" spans="1:6" ht="21">
      <c r="A2" s="2" t="s">
        <v>1</v>
      </c>
      <c r="B2" s="2"/>
      <c r="C2" s="2"/>
      <c r="D2" s="2"/>
      <c r="E2" s="2"/>
    </row>
    <row r="3" spans="1:6" ht="21">
      <c r="A3" s="3" t="s">
        <v>5</v>
      </c>
      <c r="B3" s="2"/>
      <c r="C3" s="2"/>
      <c r="D3" s="2"/>
      <c r="E3" s="2"/>
    </row>
    <row r="4" spans="1:6" ht="21">
      <c r="A4" s="3" t="s">
        <v>6</v>
      </c>
      <c r="B4" s="2"/>
      <c r="C4" s="2"/>
      <c r="D4" s="2"/>
      <c r="E4" s="2"/>
    </row>
    <row r="5" spans="1:6" ht="21">
      <c r="A5" s="3" t="s">
        <v>20</v>
      </c>
      <c r="B5" s="2"/>
      <c r="C5" s="2"/>
      <c r="D5" s="2"/>
      <c r="E5" s="2"/>
    </row>
    <row r="6" spans="1:6" ht="21">
      <c r="A6" s="67" t="s">
        <v>35</v>
      </c>
      <c r="B6" s="2"/>
    </row>
    <row r="7" spans="1:6" ht="24" customHeight="1">
      <c r="A7" s="4" t="s">
        <v>9</v>
      </c>
      <c r="B7" s="4" t="s">
        <v>21</v>
      </c>
      <c r="C7" s="15" t="s">
        <v>36</v>
      </c>
      <c r="D7" s="15" t="s">
        <v>37</v>
      </c>
      <c r="E7" s="15" t="s">
        <v>38</v>
      </c>
      <c r="F7" s="11" t="s">
        <v>16</v>
      </c>
    </row>
    <row r="8" spans="1:6" ht="21">
      <c r="A8" s="11"/>
      <c r="B8" s="11"/>
      <c r="C8" s="15"/>
      <c r="D8" s="15"/>
      <c r="E8" s="15"/>
      <c r="F8" s="11"/>
    </row>
    <row r="9" spans="1:6">
      <c r="A9" s="6"/>
      <c r="B9" s="6"/>
      <c r="C9" s="7"/>
      <c r="D9" s="7"/>
      <c r="E9" s="7"/>
      <c r="F9" s="6"/>
    </row>
    <row r="10" spans="1:6">
      <c r="A10" s="6"/>
      <c r="B10" s="6"/>
      <c r="C10" s="7"/>
      <c r="D10" s="7"/>
      <c r="E10" s="7"/>
      <c r="F10" s="6"/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A6" sqref="A6"/>
    </sheetView>
  </sheetViews>
  <sheetFormatPr defaultColWidth="9.109375" defaultRowHeight="20.399999999999999"/>
  <cols>
    <col min="1" max="1" width="6.109375" style="1" customWidth="1"/>
    <col min="2" max="2" width="46.33203125" style="1" customWidth="1"/>
    <col min="3" max="3" width="22.44140625" style="1" customWidth="1"/>
    <col min="4" max="4" width="19.88671875" style="1" customWidth="1"/>
    <col min="5" max="5" width="20.33203125" style="1" customWidth="1"/>
    <col min="6" max="6" width="17.33203125" style="1" customWidth="1"/>
    <col min="7" max="16384" width="9.109375" style="1"/>
  </cols>
  <sheetData>
    <row r="1" spans="1:6" ht="21">
      <c r="A1" s="70" t="s">
        <v>0</v>
      </c>
      <c r="B1" s="70"/>
      <c r="C1" s="70"/>
      <c r="D1" s="70"/>
      <c r="E1" s="70"/>
    </row>
    <row r="2" spans="1:6" ht="21">
      <c r="A2" s="2" t="s">
        <v>1</v>
      </c>
      <c r="B2" s="2"/>
      <c r="C2" s="2"/>
      <c r="D2" s="2"/>
      <c r="E2" s="2"/>
    </row>
    <row r="3" spans="1:6" ht="21">
      <c r="A3" s="3" t="s">
        <v>5</v>
      </c>
      <c r="B3" s="2"/>
      <c r="C3" s="2"/>
      <c r="D3" s="2"/>
      <c r="E3" s="2"/>
    </row>
    <row r="4" spans="1:6" ht="21">
      <c r="A4" s="3" t="s">
        <v>6</v>
      </c>
      <c r="B4" s="2"/>
      <c r="C4" s="2"/>
      <c r="D4" s="2"/>
      <c r="E4" s="2"/>
    </row>
    <row r="5" spans="1:6" ht="21">
      <c r="A5" s="3" t="s">
        <v>20</v>
      </c>
      <c r="B5" s="2"/>
      <c r="C5" s="2"/>
      <c r="D5" s="2"/>
      <c r="E5" s="2"/>
    </row>
    <row r="6" spans="1:6" ht="21">
      <c r="A6" s="67" t="s">
        <v>39</v>
      </c>
      <c r="B6" s="2"/>
      <c r="C6" s="2"/>
      <c r="D6" s="2"/>
    </row>
    <row r="7" spans="1:6" ht="24" customHeight="1">
      <c r="A7" s="4" t="s">
        <v>9</v>
      </c>
      <c r="B7" s="5" t="s">
        <v>40</v>
      </c>
      <c r="C7" s="5" t="s">
        <v>41</v>
      </c>
      <c r="D7" s="5" t="s">
        <v>42</v>
      </c>
      <c r="E7" s="11" t="s">
        <v>43</v>
      </c>
      <c r="F7" s="11" t="s">
        <v>44</v>
      </c>
    </row>
    <row r="8" spans="1:6" ht="21">
      <c r="A8" s="78">
        <v>1</v>
      </c>
      <c r="B8" s="80" t="s">
        <v>45</v>
      </c>
      <c r="C8" s="16"/>
      <c r="D8" s="16"/>
      <c r="E8" s="11"/>
      <c r="F8" s="11"/>
    </row>
    <row r="9" spans="1:6">
      <c r="A9" s="79"/>
      <c r="B9" s="80"/>
      <c r="C9" s="16"/>
      <c r="D9" s="16"/>
      <c r="E9" s="6"/>
      <c r="F9" s="6"/>
    </row>
    <row r="10" spans="1:6">
      <c r="A10" s="6"/>
      <c r="B10" s="6"/>
      <c r="C10" s="6"/>
      <c r="D10" s="6"/>
      <c r="E10" s="6"/>
      <c r="F10" s="6"/>
    </row>
  </sheetData>
  <mergeCells count="3">
    <mergeCell ref="A1:E1"/>
    <mergeCell ref="A8:A9"/>
    <mergeCell ref="B8:B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"/>
  <sheetViews>
    <sheetView topLeftCell="B1" zoomScale="80" zoomScaleNormal="80" workbookViewId="0">
      <selection activeCell="A6" sqref="A6"/>
    </sheetView>
  </sheetViews>
  <sheetFormatPr defaultColWidth="9.109375" defaultRowHeight="14.4"/>
  <cols>
    <col min="1" max="12" width="9.109375" style="20"/>
    <col min="13" max="13" width="12.109375" style="20" customWidth="1"/>
    <col min="14" max="14" width="9.109375" style="20"/>
    <col min="15" max="15" width="6.33203125" style="20" customWidth="1"/>
    <col min="16" max="16" width="9.109375" style="20"/>
    <col min="17" max="17" width="7.109375" style="20" customWidth="1"/>
    <col min="18" max="18" width="9.109375" style="20"/>
    <col min="19" max="19" width="6.44140625" style="20" customWidth="1"/>
    <col min="20" max="22" width="9.109375" style="20"/>
    <col min="23" max="23" width="8.88671875" style="20" customWidth="1"/>
    <col min="24" max="24" width="9.109375" style="20" hidden="1" customWidth="1"/>
    <col min="25" max="25" width="9.109375" style="20"/>
    <col min="26" max="26" width="7.109375" style="20" customWidth="1"/>
    <col min="27" max="27" width="2.6640625" style="20" customWidth="1"/>
    <col min="28" max="28" width="9.109375" style="20" hidden="1" customWidth="1"/>
    <col min="29" max="16384" width="9.109375" style="20"/>
  </cols>
  <sheetData>
    <row r="1" spans="1:32" s="17" customFormat="1" ht="21">
      <c r="A1" s="81" t="s">
        <v>0</v>
      </c>
      <c r="B1" s="81"/>
      <c r="C1" s="81"/>
      <c r="D1" s="81"/>
      <c r="E1" s="81"/>
    </row>
    <row r="2" spans="1:32" s="17" customFormat="1" ht="21">
      <c r="A2" s="18" t="s">
        <v>4</v>
      </c>
      <c r="B2" s="18"/>
      <c r="C2" s="18"/>
      <c r="D2" s="18"/>
      <c r="E2" s="18"/>
    </row>
    <row r="3" spans="1:32" s="17" customFormat="1" ht="21">
      <c r="A3" s="19" t="s">
        <v>5</v>
      </c>
      <c r="B3" s="18"/>
      <c r="C3" s="18"/>
      <c r="D3" s="18"/>
      <c r="E3" s="18"/>
    </row>
    <row r="4" spans="1:32" s="17" customFormat="1" ht="21">
      <c r="A4" s="19" t="s">
        <v>6</v>
      </c>
      <c r="B4" s="18"/>
      <c r="C4" s="18"/>
      <c r="D4" s="18"/>
      <c r="E4" s="18"/>
    </row>
    <row r="5" spans="1:32" s="17" customFormat="1" ht="21">
      <c r="A5" s="19" t="s">
        <v>20</v>
      </c>
      <c r="B5" s="18"/>
      <c r="C5" s="18"/>
      <c r="D5" s="18"/>
      <c r="E5" s="18"/>
    </row>
    <row r="6" spans="1:32" s="17" customFormat="1" ht="21">
      <c r="A6" s="69" t="s">
        <v>46</v>
      </c>
      <c r="B6" s="18"/>
      <c r="C6" s="18"/>
      <c r="D6" s="18"/>
      <c r="E6" s="18"/>
    </row>
    <row r="7" spans="1:32" ht="20.399999999999999">
      <c r="A7" s="82" t="s">
        <v>47</v>
      </c>
      <c r="B7" s="83"/>
      <c r="C7" s="83"/>
      <c r="D7" s="84"/>
      <c r="E7" s="85" t="s">
        <v>48</v>
      </c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7"/>
    </row>
    <row r="8" spans="1:32" ht="20.399999999999999">
      <c r="A8" s="88" t="s">
        <v>49</v>
      </c>
      <c r="B8" s="89"/>
      <c r="C8" s="89"/>
      <c r="D8" s="90"/>
      <c r="E8" s="91" t="s">
        <v>50</v>
      </c>
      <c r="F8" s="92"/>
      <c r="G8" s="85" t="s">
        <v>51</v>
      </c>
      <c r="H8" s="86"/>
      <c r="I8" s="86"/>
      <c r="J8" s="86"/>
      <c r="K8" s="86"/>
      <c r="L8" s="87"/>
      <c r="M8" s="85" t="s">
        <v>52</v>
      </c>
      <c r="N8" s="86"/>
      <c r="O8" s="87"/>
      <c r="P8" s="85" t="s">
        <v>53</v>
      </c>
      <c r="Q8" s="86"/>
      <c r="R8" s="86"/>
      <c r="S8" s="87"/>
      <c r="T8" s="91" t="s">
        <v>54</v>
      </c>
      <c r="U8" s="92"/>
      <c r="V8" s="85" t="s">
        <v>55</v>
      </c>
      <c r="W8" s="86"/>
      <c r="X8" s="86"/>
      <c r="Y8" s="86"/>
      <c r="Z8" s="86"/>
      <c r="AA8" s="86"/>
      <c r="AB8" s="87"/>
      <c r="AC8" s="91" t="s">
        <v>56</v>
      </c>
      <c r="AD8" s="93"/>
      <c r="AE8" s="93"/>
      <c r="AF8" s="92"/>
    </row>
    <row r="9" spans="1:32" ht="61.2">
      <c r="A9" s="97" t="s">
        <v>47</v>
      </c>
      <c r="B9" s="98"/>
      <c r="C9" s="98"/>
      <c r="D9" s="99"/>
      <c r="E9" s="97" t="s">
        <v>47</v>
      </c>
      <c r="F9" s="99"/>
      <c r="G9" s="100" t="s">
        <v>57</v>
      </c>
      <c r="H9" s="96"/>
      <c r="I9" s="21" t="s">
        <v>58</v>
      </c>
      <c r="J9" s="21" t="s">
        <v>59</v>
      </c>
      <c r="K9" s="100" t="s">
        <v>60</v>
      </c>
      <c r="L9" s="96"/>
      <c r="M9" s="22" t="s">
        <v>61</v>
      </c>
      <c r="N9" s="94" t="s">
        <v>62</v>
      </c>
      <c r="O9" s="96"/>
      <c r="P9" s="94" t="s">
        <v>63</v>
      </c>
      <c r="Q9" s="95"/>
      <c r="R9" s="94" t="s">
        <v>62</v>
      </c>
      <c r="S9" s="96"/>
      <c r="T9" s="97" t="s">
        <v>47</v>
      </c>
      <c r="U9" s="99"/>
      <c r="V9" s="94" t="s">
        <v>64</v>
      </c>
      <c r="W9" s="95"/>
      <c r="X9" s="96"/>
      <c r="Y9" s="94" t="s">
        <v>65</v>
      </c>
      <c r="Z9" s="95"/>
      <c r="AA9" s="95"/>
      <c r="AB9" s="96"/>
      <c r="AC9" s="97" t="s">
        <v>47</v>
      </c>
      <c r="AD9" s="98"/>
      <c r="AE9" s="98"/>
      <c r="AF9" s="99"/>
    </row>
    <row r="10" spans="1:32" ht="20.399999999999999">
      <c r="A10" s="101" t="s">
        <v>17</v>
      </c>
      <c r="B10" s="95"/>
      <c r="C10" s="95"/>
      <c r="D10" s="96"/>
      <c r="E10" s="102" t="s">
        <v>47</v>
      </c>
      <c r="F10" s="96"/>
      <c r="G10" s="103" t="s">
        <v>47</v>
      </c>
      <c r="H10" s="96"/>
      <c r="I10" s="23" t="s">
        <v>47</v>
      </c>
      <c r="J10" s="23" t="s">
        <v>47</v>
      </c>
      <c r="K10" s="102" t="s">
        <v>47</v>
      </c>
      <c r="L10" s="96"/>
      <c r="M10" s="24" t="s">
        <v>47</v>
      </c>
      <c r="N10" s="102" t="s">
        <v>47</v>
      </c>
      <c r="O10" s="96"/>
      <c r="P10" s="102" t="s">
        <v>47</v>
      </c>
      <c r="Q10" s="95"/>
      <c r="R10" s="104" t="s">
        <v>47</v>
      </c>
      <c r="S10" s="96"/>
      <c r="T10" s="105"/>
      <c r="U10" s="96"/>
      <c r="V10" s="106" t="s">
        <v>47</v>
      </c>
      <c r="W10" s="95"/>
      <c r="X10" s="96"/>
      <c r="Y10" s="106" t="s">
        <v>47</v>
      </c>
      <c r="Z10" s="95"/>
      <c r="AA10" s="95"/>
      <c r="AB10" s="96"/>
      <c r="AC10" s="103" t="s">
        <v>47</v>
      </c>
      <c r="AD10" s="95"/>
      <c r="AE10" s="95"/>
      <c r="AF10" s="96"/>
    </row>
    <row r="11" spans="1:32">
      <c r="A11" s="107"/>
      <c r="B11" s="108"/>
      <c r="C11" s="108"/>
      <c r="D11" s="109"/>
      <c r="E11" s="114"/>
      <c r="F11" s="109"/>
      <c r="G11" s="107"/>
      <c r="H11" s="109"/>
      <c r="I11" s="107"/>
      <c r="J11" s="107"/>
      <c r="K11" s="94"/>
      <c r="L11" s="109"/>
      <c r="M11" s="94"/>
      <c r="N11" s="94"/>
      <c r="O11" s="109"/>
      <c r="P11" s="94"/>
      <c r="Q11" s="108"/>
      <c r="R11" s="117"/>
      <c r="S11" s="109"/>
      <c r="T11" s="118"/>
      <c r="U11" s="109"/>
      <c r="V11" s="25"/>
      <c r="W11" s="26"/>
      <c r="X11" s="27"/>
      <c r="Y11" s="25"/>
      <c r="Z11" s="26"/>
      <c r="AA11" s="26"/>
      <c r="AB11" s="27"/>
      <c r="AC11" s="119"/>
      <c r="AD11" s="108"/>
      <c r="AE11" s="108"/>
      <c r="AF11" s="109"/>
    </row>
    <row r="12" spans="1:32">
      <c r="A12" s="110"/>
      <c r="B12" s="111"/>
      <c r="C12" s="111"/>
      <c r="D12" s="112"/>
      <c r="E12" s="110"/>
      <c r="F12" s="112"/>
      <c r="G12" s="110"/>
      <c r="H12" s="112"/>
      <c r="I12" s="115"/>
      <c r="J12" s="115"/>
      <c r="K12" s="110"/>
      <c r="L12" s="112"/>
      <c r="M12" s="115"/>
      <c r="N12" s="110"/>
      <c r="O12" s="112"/>
      <c r="P12" s="110"/>
      <c r="Q12" s="111"/>
      <c r="R12" s="110"/>
      <c r="S12" s="112"/>
      <c r="T12" s="110"/>
      <c r="U12" s="112"/>
      <c r="V12" s="28"/>
      <c r="W12" s="29"/>
      <c r="X12" s="30"/>
      <c r="Y12" s="28"/>
      <c r="Z12" s="29"/>
      <c r="AA12" s="29"/>
      <c r="AB12" s="30"/>
      <c r="AC12" s="120"/>
      <c r="AD12" s="111"/>
      <c r="AE12" s="111"/>
      <c r="AF12" s="112"/>
    </row>
    <row r="13" spans="1:32">
      <c r="A13" s="113"/>
      <c r="B13" s="98"/>
      <c r="C13" s="98"/>
      <c r="D13" s="99"/>
      <c r="E13" s="113"/>
      <c r="F13" s="99"/>
      <c r="G13" s="113"/>
      <c r="H13" s="99"/>
      <c r="I13" s="116"/>
      <c r="J13" s="116"/>
      <c r="K13" s="113"/>
      <c r="L13" s="99"/>
      <c r="M13" s="116"/>
      <c r="N13" s="113"/>
      <c r="O13" s="99"/>
      <c r="P13" s="113"/>
      <c r="Q13" s="98"/>
      <c r="R13" s="113"/>
      <c r="S13" s="99"/>
      <c r="T13" s="113"/>
      <c r="U13" s="99"/>
      <c r="V13" s="31"/>
      <c r="W13" s="32"/>
      <c r="X13" s="33"/>
      <c r="Y13" s="31"/>
      <c r="Z13" s="32"/>
      <c r="AA13" s="32"/>
      <c r="AB13" s="33"/>
      <c r="AC13" s="121"/>
      <c r="AD13" s="98"/>
      <c r="AE13" s="98"/>
      <c r="AF13" s="99"/>
    </row>
  </sheetData>
  <mergeCells count="45">
    <mergeCell ref="R11:S13"/>
    <mergeCell ref="T11:U13"/>
    <mergeCell ref="AC11:AF13"/>
    <mergeCell ref="K11:L13"/>
    <mergeCell ref="M11:M13"/>
    <mergeCell ref="N11:O13"/>
    <mergeCell ref="P11:Q13"/>
    <mergeCell ref="A11:D13"/>
    <mergeCell ref="E11:F13"/>
    <mergeCell ref="G11:H13"/>
    <mergeCell ref="I11:I13"/>
    <mergeCell ref="J11:J13"/>
    <mergeCell ref="AC9:AF9"/>
    <mergeCell ref="A10:D10"/>
    <mergeCell ref="E10:F10"/>
    <mergeCell ref="G10:H10"/>
    <mergeCell ref="K10:L10"/>
    <mergeCell ref="N10:O10"/>
    <mergeCell ref="P10:Q10"/>
    <mergeCell ref="R10:S10"/>
    <mergeCell ref="T10:U10"/>
    <mergeCell ref="V10:X10"/>
    <mergeCell ref="Y10:AB10"/>
    <mergeCell ref="AC10:AF10"/>
    <mergeCell ref="P9:Q9"/>
    <mergeCell ref="R9:S9"/>
    <mergeCell ref="T9:U9"/>
    <mergeCell ref="V9:X9"/>
    <mergeCell ref="Y9:AB9"/>
    <mergeCell ref="A9:D9"/>
    <mergeCell ref="E9:F9"/>
    <mergeCell ref="G9:H9"/>
    <mergeCell ref="K9:L9"/>
    <mergeCell ref="N9:O9"/>
    <mergeCell ref="A1:E1"/>
    <mergeCell ref="A7:D7"/>
    <mergeCell ref="E7:AF7"/>
    <mergeCell ref="A8:D8"/>
    <mergeCell ref="E8:F8"/>
    <mergeCell ref="G8:L8"/>
    <mergeCell ref="M8:O8"/>
    <mergeCell ref="P8:S8"/>
    <mergeCell ref="T8:U8"/>
    <mergeCell ref="V8:AB8"/>
    <mergeCell ref="AC8:AF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B20" sqref="B20"/>
    </sheetView>
  </sheetViews>
  <sheetFormatPr defaultRowHeight="14.4"/>
  <cols>
    <col min="2" max="2" width="30.5546875" customWidth="1"/>
    <col min="3" max="3" width="19.77734375" customWidth="1"/>
    <col min="4" max="4" width="23.44140625" customWidth="1"/>
    <col min="5" max="5" width="27.109375" customWidth="1"/>
    <col min="6" max="6" width="25.77734375" customWidth="1"/>
    <col min="7" max="7" width="16.6640625" customWidth="1"/>
    <col min="8" max="8" width="21.109375" customWidth="1"/>
  </cols>
  <sheetData>
    <row r="1" spans="1:8" s="1" customFormat="1" ht="21">
      <c r="A1" s="122" t="s">
        <v>0</v>
      </c>
      <c r="B1" s="122"/>
      <c r="C1" s="122"/>
      <c r="D1" s="122"/>
      <c r="E1" s="122"/>
    </row>
    <row r="2" spans="1:8" s="1" customFormat="1" ht="21">
      <c r="A2" s="2" t="s">
        <v>1</v>
      </c>
      <c r="B2" s="2"/>
      <c r="C2" s="2"/>
      <c r="D2" s="2"/>
      <c r="E2" s="2"/>
    </row>
    <row r="3" spans="1:8" s="1" customFormat="1" ht="21">
      <c r="A3" s="59" t="s">
        <v>5</v>
      </c>
      <c r="B3" s="2"/>
      <c r="C3" s="2"/>
      <c r="D3" s="2"/>
      <c r="E3" s="2"/>
    </row>
    <row r="4" spans="1:8" s="1" customFormat="1" ht="21">
      <c r="A4" s="59" t="s">
        <v>6</v>
      </c>
      <c r="B4" s="2"/>
      <c r="C4" s="2"/>
      <c r="D4" s="2"/>
      <c r="E4" s="2"/>
    </row>
    <row r="5" spans="1:8" s="1" customFormat="1" ht="21">
      <c r="A5" s="59" t="s">
        <v>20</v>
      </c>
      <c r="B5" s="2"/>
      <c r="C5" s="2"/>
      <c r="D5" s="2"/>
      <c r="E5" s="2"/>
    </row>
    <row r="6" spans="1:8" s="1" customFormat="1" ht="21">
      <c r="A6" s="67" t="s">
        <v>131</v>
      </c>
      <c r="B6" s="2"/>
      <c r="C6" s="2"/>
      <c r="D6" s="2"/>
      <c r="E6" s="2"/>
      <c r="F6" s="2"/>
      <c r="G6" s="2"/>
      <c r="H6" s="2"/>
    </row>
    <row r="7" spans="1:8" s="1" customFormat="1" ht="21">
      <c r="A7" s="55" t="s">
        <v>9</v>
      </c>
      <c r="B7" s="56" t="s">
        <v>21</v>
      </c>
      <c r="C7" s="56" t="s">
        <v>121</v>
      </c>
      <c r="D7" s="56" t="s">
        <v>122</v>
      </c>
      <c r="E7" s="15" t="s">
        <v>123</v>
      </c>
      <c r="F7" s="15" t="s">
        <v>124</v>
      </c>
      <c r="G7" s="15" t="s">
        <v>125</v>
      </c>
      <c r="H7" s="15" t="s">
        <v>14</v>
      </c>
    </row>
    <row r="8" spans="1:8" s="1" customFormat="1" ht="21">
      <c r="A8" s="57"/>
      <c r="B8" s="58"/>
      <c r="C8" s="58"/>
      <c r="D8" s="58"/>
      <c r="E8" s="15"/>
      <c r="F8" s="15"/>
      <c r="G8" s="15"/>
      <c r="H8" s="15"/>
    </row>
    <row r="9" spans="1:8" s="1" customFormat="1" ht="20.399999999999999">
      <c r="A9" s="6"/>
      <c r="B9" s="6"/>
      <c r="C9" s="6"/>
      <c r="D9" s="6"/>
      <c r="E9" s="6"/>
      <c r="F9" s="6"/>
      <c r="G9" s="6"/>
      <c r="H9" s="6"/>
    </row>
    <row r="10" spans="1:8" s="1" customFormat="1" ht="20.399999999999999">
      <c r="A10" s="6"/>
      <c r="B10" s="6"/>
      <c r="C10" s="6"/>
      <c r="D10" s="6"/>
      <c r="E10" s="6"/>
      <c r="F10" s="6"/>
      <c r="G10" s="6"/>
      <c r="H10" s="6"/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8"/>
  <sheetViews>
    <sheetView workbookViewId="0">
      <selection activeCell="A6" sqref="A6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3" width="19.44140625" style="1" customWidth="1"/>
    <col min="4" max="5" width="19" style="1" customWidth="1"/>
    <col min="6" max="16384" width="9.109375" style="1"/>
  </cols>
  <sheetData>
    <row r="1" spans="1:4" ht="21">
      <c r="A1" s="70" t="s">
        <v>0</v>
      </c>
      <c r="B1" s="70"/>
      <c r="C1" s="70"/>
      <c r="D1" s="70"/>
    </row>
    <row r="2" spans="1:4" ht="21">
      <c r="A2" s="2" t="s">
        <v>1</v>
      </c>
      <c r="B2" s="2"/>
      <c r="C2" s="2"/>
      <c r="D2" s="2"/>
    </row>
    <row r="3" spans="1:4" ht="21">
      <c r="A3" s="3" t="s">
        <v>5</v>
      </c>
      <c r="B3" s="2"/>
      <c r="C3" s="2"/>
      <c r="D3" s="2"/>
    </row>
    <row r="4" spans="1:4" ht="21">
      <c r="A4" s="3" t="s">
        <v>6</v>
      </c>
      <c r="B4" s="2"/>
      <c r="C4" s="2"/>
      <c r="D4" s="2"/>
    </row>
    <row r="5" spans="1:4" ht="21">
      <c r="A5" s="3" t="s">
        <v>20</v>
      </c>
      <c r="B5" s="2"/>
      <c r="C5" s="2"/>
      <c r="D5" s="2"/>
    </row>
    <row r="6" spans="1:4" ht="21">
      <c r="A6" s="67" t="s">
        <v>66</v>
      </c>
      <c r="B6" s="2"/>
      <c r="C6" s="2"/>
    </row>
    <row r="7" spans="1:4" ht="21">
      <c r="A7" s="4" t="s">
        <v>9</v>
      </c>
      <c r="B7" s="4" t="s">
        <v>21</v>
      </c>
      <c r="C7" s="11" t="s">
        <v>14</v>
      </c>
    </row>
    <row r="8" spans="1:4" ht="21">
      <c r="A8" s="11"/>
      <c r="B8" s="34"/>
      <c r="C8" s="11"/>
    </row>
  </sheetData>
  <mergeCells count="1">
    <mergeCell ref="A1:D1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6" sqref="A6"/>
    </sheetView>
  </sheetViews>
  <sheetFormatPr defaultRowHeight="14.4"/>
  <cols>
    <col min="2" max="2" width="26.6640625" customWidth="1"/>
    <col min="3" max="3" width="17.5546875" customWidth="1"/>
    <col min="4" max="4" width="17.33203125" customWidth="1"/>
    <col min="5" max="5" width="16.44140625" customWidth="1"/>
    <col min="6" max="6" width="17.88671875" customWidth="1"/>
  </cols>
  <sheetData>
    <row r="1" spans="1:6" ht="21">
      <c r="A1" s="70" t="s">
        <v>0</v>
      </c>
      <c r="B1" s="70"/>
      <c r="C1" s="70"/>
      <c r="D1" s="70"/>
      <c r="E1" s="70"/>
      <c r="F1" s="70"/>
    </row>
    <row r="2" spans="1:6" ht="21">
      <c r="A2" s="2" t="s">
        <v>1</v>
      </c>
      <c r="B2" s="2"/>
      <c r="C2" s="2"/>
      <c r="D2" s="2"/>
      <c r="E2" s="2"/>
      <c r="F2" s="2"/>
    </row>
    <row r="3" spans="1:6" ht="21">
      <c r="A3" s="122" t="s">
        <v>5</v>
      </c>
      <c r="B3" s="122"/>
      <c r="C3" s="2"/>
      <c r="D3" s="2"/>
      <c r="E3" s="2"/>
      <c r="F3" s="2"/>
    </row>
    <row r="4" spans="1:6" ht="21">
      <c r="A4" s="53" t="s">
        <v>6</v>
      </c>
      <c r="B4" s="53"/>
      <c r="C4" s="2"/>
      <c r="D4" s="2"/>
      <c r="E4" s="2"/>
      <c r="F4" s="2"/>
    </row>
    <row r="5" spans="1:6" ht="21">
      <c r="A5" s="122" t="s">
        <v>7</v>
      </c>
      <c r="B5" s="122"/>
      <c r="C5" s="2"/>
      <c r="D5" s="2"/>
      <c r="E5" s="2"/>
      <c r="F5" s="2"/>
    </row>
    <row r="6" spans="1:6" ht="21">
      <c r="A6" s="67" t="s">
        <v>115</v>
      </c>
      <c r="B6" s="2"/>
      <c r="C6" s="2"/>
      <c r="D6" s="2"/>
      <c r="E6" s="2"/>
      <c r="F6" s="2"/>
    </row>
    <row r="7" spans="1:6" ht="21">
      <c r="A7" s="71" t="s">
        <v>9</v>
      </c>
      <c r="B7" s="72" t="s">
        <v>10</v>
      </c>
      <c r="C7" s="72" t="s">
        <v>68</v>
      </c>
      <c r="D7" s="123" t="s">
        <v>69</v>
      </c>
      <c r="E7" s="73" t="s">
        <v>126</v>
      </c>
      <c r="F7" s="73"/>
    </row>
    <row r="8" spans="1:6" ht="21">
      <c r="A8" s="71"/>
      <c r="B8" s="72"/>
      <c r="C8" s="72"/>
      <c r="D8" s="124"/>
      <c r="E8" s="50" t="s">
        <v>70</v>
      </c>
      <c r="F8" s="50" t="s">
        <v>71</v>
      </c>
    </row>
    <row r="9" spans="1:6" ht="20.399999999999999">
      <c r="A9" s="6">
        <v>1</v>
      </c>
      <c r="B9" s="7"/>
      <c r="C9" s="7"/>
      <c r="D9" s="7"/>
      <c r="E9" s="6"/>
      <c r="F9" s="6"/>
    </row>
    <row r="10" spans="1:6" ht="20.399999999999999">
      <c r="A10" s="6">
        <v>2</v>
      </c>
      <c r="B10" s="7"/>
      <c r="C10" s="7"/>
      <c r="D10" s="7"/>
      <c r="E10" s="6"/>
      <c r="F10" s="6"/>
    </row>
    <row r="11" spans="1:6" ht="21">
      <c r="A11" s="8"/>
      <c r="B11" s="9" t="s">
        <v>17</v>
      </c>
      <c r="C11" s="8"/>
      <c r="D11" s="8"/>
      <c r="E11" s="8"/>
      <c r="F11" s="8"/>
    </row>
  </sheetData>
  <mergeCells count="8">
    <mergeCell ref="A1:F1"/>
    <mergeCell ref="A3:B3"/>
    <mergeCell ref="A5:B5"/>
    <mergeCell ref="A7:A8"/>
    <mergeCell ref="B7:B8"/>
    <mergeCell ref="C7:C8"/>
    <mergeCell ref="D7:D8"/>
    <mergeCell ref="E7:F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4"/>
  <sheetViews>
    <sheetView topLeftCell="A4" workbookViewId="0">
      <selection activeCell="A9" sqref="A9"/>
    </sheetView>
  </sheetViews>
  <sheetFormatPr defaultColWidth="9.109375" defaultRowHeight="20.399999999999999"/>
  <cols>
    <col min="1" max="1" width="6.109375" style="1" customWidth="1"/>
    <col min="2" max="2" width="28.6640625" style="1" customWidth="1"/>
    <col min="3" max="4" width="28.5546875" style="1" customWidth="1"/>
    <col min="5" max="5" width="11.5546875" style="1" customWidth="1"/>
    <col min="6" max="6" width="11.33203125" style="1" customWidth="1"/>
    <col min="7" max="16384" width="9.109375" style="1"/>
  </cols>
  <sheetData>
    <row r="1" spans="1:6" ht="21">
      <c r="A1" s="70" t="s">
        <v>0</v>
      </c>
      <c r="B1" s="70"/>
      <c r="C1" s="70"/>
      <c r="D1" s="70"/>
      <c r="E1" s="70"/>
      <c r="F1" s="70"/>
    </row>
    <row r="2" spans="1:6" ht="21">
      <c r="A2" s="2" t="s">
        <v>1</v>
      </c>
      <c r="B2" s="2"/>
      <c r="C2" s="2"/>
      <c r="D2" s="2"/>
      <c r="E2" s="2"/>
      <c r="F2" s="2"/>
    </row>
    <row r="3" spans="1:6" ht="21">
      <c r="A3" s="2" t="s">
        <v>2</v>
      </c>
      <c r="B3" s="2"/>
      <c r="C3" s="2"/>
      <c r="D3" s="2"/>
      <c r="E3" s="2"/>
      <c r="F3" s="2"/>
    </row>
    <row r="4" spans="1:6" ht="21">
      <c r="A4" s="2" t="s">
        <v>3</v>
      </c>
      <c r="B4" s="2"/>
      <c r="C4" s="2"/>
      <c r="D4" s="2"/>
      <c r="E4" s="2"/>
      <c r="F4" s="2"/>
    </row>
    <row r="5" spans="1:6" ht="21">
      <c r="A5" s="2" t="s">
        <v>4</v>
      </c>
      <c r="B5" s="2"/>
      <c r="C5" s="2"/>
      <c r="D5" s="2"/>
      <c r="E5" s="2"/>
      <c r="F5" s="2"/>
    </row>
    <row r="6" spans="1:6" ht="21">
      <c r="A6" s="122" t="s">
        <v>5</v>
      </c>
      <c r="B6" s="122"/>
      <c r="C6" s="2"/>
      <c r="D6" s="2"/>
      <c r="E6" s="2"/>
      <c r="F6" s="2"/>
    </row>
    <row r="7" spans="1:6" ht="21">
      <c r="A7" s="3" t="s">
        <v>6</v>
      </c>
      <c r="B7" s="3"/>
      <c r="C7" s="2"/>
      <c r="D7" s="2"/>
      <c r="E7" s="2"/>
      <c r="F7" s="2"/>
    </row>
    <row r="8" spans="1:6" ht="21">
      <c r="A8" s="122" t="s">
        <v>7</v>
      </c>
      <c r="B8" s="122"/>
      <c r="C8" s="2"/>
      <c r="D8" s="2"/>
      <c r="E8" s="2"/>
      <c r="F8" s="2"/>
    </row>
    <row r="9" spans="1:6" ht="21">
      <c r="A9" s="67" t="s">
        <v>67</v>
      </c>
      <c r="B9" s="2"/>
      <c r="C9" s="2"/>
      <c r="D9" s="2"/>
      <c r="E9" s="2"/>
      <c r="F9" s="2"/>
    </row>
    <row r="10" spans="1:6" ht="21">
      <c r="A10" s="71" t="s">
        <v>9</v>
      </c>
      <c r="B10" s="72" t="s">
        <v>10</v>
      </c>
      <c r="C10" s="72" t="s">
        <v>68</v>
      </c>
      <c r="D10" s="123" t="s">
        <v>69</v>
      </c>
      <c r="E10" s="73" t="s">
        <v>127</v>
      </c>
      <c r="F10" s="73"/>
    </row>
    <row r="11" spans="1:6" ht="21">
      <c r="A11" s="71"/>
      <c r="B11" s="72"/>
      <c r="C11" s="72"/>
      <c r="D11" s="124"/>
      <c r="E11" s="11" t="s">
        <v>70</v>
      </c>
      <c r="F11" s="11" t="s">
        <v>71</v>
      </c>
    </row>
    <row r="12" spans="1:6">
      <c r="A12" s="6">
        <v>1</v>
      </c>
      <c r="B12" s="7"/>
      <c r="C12" s="7"/>
      <c r="D12" s="7"/>
      <c r="E12" s="6"/>
      <c r="F12" s="6"/>
    </row>
    <row r="13" spans="1:6">
      <c r="A13" s="6">
        <v>2</v>
      </c>
      <c r="B13" s="7"/>
      <c r="C13" s="7"/>
      <c r="D13" s="7"/>
      <c r="E13" s="6"/>
      <c r="F13" s="6"/>
    </row>
    <row r="14" spans="1:6" ht="21">
      <c r="A14" s="8"/>
      <c r="B14" s="9" t="s">
        <v>17</v>
      </c>
      <c r="C14" s="8"/>
      <c r="D14" s="8"/>
      <c r="E14" s="8"/>
      <c r="F14" s="8"/>
    </row>
  </sheetData>
  <mergeCells count="8">
    <mergeCell ref="A1:F1"/>
    <mergeCell ref="A6:B6"/>
    <mergeCell ref="A8:B8"/>
    <mergeCell ref="A10:A11"/>
    <mergeCell ref="B10:B11"/>
    <mergeCell ref="C10:C11"/>
    <mergeCell ref="D10:D11"/>
    <mergeCell ref="E10:F10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90" zoomScaleNormal="90" workbookViewId="0">
      <selection activeCell="B15" sqref="B15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3" width="19.44140625" style="1" customWidth="1"/>
    <col min="4" max="5" width="19" style="1" customWidth="1"/>
    <col min="6" max="16384" width="9.109375" style="1"/>
  </cols>
  <sheetData>
    <row r="1" spans="1:4" ht="21">
      <c r="A1" s="70" t="s">
        <v>0</v>
      </c>
      <c r="B1" s="70"/>
      <c r="C1" s="70"/>
    </row>
    <row r="2" spans="1:4" ht="21">
      <c r="A2" s="2" t="s">
        <v>1</v>
      </c>
      <c r="B2" s="2"/>
      <c r="C2" s="2"/>
    </row>
    <row r="3" spans="1:4" ht="21">
      <c r="A3" s="3" t="s">
        <v>5</v>
      </c>
      <c r="B3" s="2"/>
      <c r="C3" s="2"/>
    </row>
    <row r="4" spans="1:4" ht="21">
      <c r="A4" s="3" t="s">
        <v>6</v>
      </c>
      <c r="B4" s="2"/>
      <c r="C4" s="2"/>
    </row>
    <row r="5" spans="1:4" ht="21">
      <c r="A5" s="3" t="s">
        <v>20</v>
      </c>
      <c r="B5" s="2"/>
      <c r="C5" s="2"/>
    </row>
    <row r="6" spans="1:4" ht="21">
      <c r="A6" s="67" t="s">
        <v>72</v>
      </c>
      <c r="B6" s="2"/>
      <c r="C6" s="2"/>
    </row>
    <row r="7" spans="1:4" ht="21">
      <c r="A7" s="51" t="s">
        <v>9</v>
      </c>
      <c r="B7" s="52" t="s">
        <v>21</v>
      </c>
      <c r="C7" s="15" t="s">
        <v>14</v>
      </c>
      <c r="D7" s="49" t="s">
        <v>116</v>
      </c>
    </row>
    <row r="8" spans="1:4" ht="21">
      <c r="A8" s="50"/>
      <c r="B8" s="66"/>
      <c r="C8" s="15"/>
      <c r="D8" s="49"/>
    </row>
    <row r="9" spans="1:4">
      <c r="A9" s="49"/>
      <c r="B9" s="66"/>
      <c r="C9" s="66"/>
      <c r="D9" s="49"/>
    </row>
    <row r="10" spans="1:4">
      <c r="A10" s="49"/>
      <c r="B10" s="49"/>
      <c r="C10" s="49"/>
      <c r="D10" s="49"/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="90" zoomScaleNormal="90" workbookViewId="0">
      <selection activeCell="A6" sqref="A6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3" width="15.44140625" style="1" customWidth="1"/>
    <col min="4" max="4" width="13.44140625" style="1" customWidth="1"/>
    <col min="5" max="5" width="16.5546875" style="1" customWidth="1"/>
    <col min="6" max="6" width="19.44140625" style="1" customWidth="1"/>
    <col min="7" max="9" width="19" style="1" customWidth="1"/>
    <col min="10" max="16384" width="9.109375" style="1"/>
  </cols>
  <sheetData>
    <row r="1" spans="1:7" ht="21">
      <c r="A1" s="70" t="s">
        <v>0</v>
      </c>
      <c r="B1" s="70"/>
      <c r="C1" s="70"/>
      <c r="D1" s="70"/>
    </row>
    <row r="2" spans="1:7" ht="21">
      <c r="A2" s="2" t="s">
        <v>1</v>
      </c>
      <c r="B2" s="2"/>
      <c r="C2" s="2"/>
      <c r="D2" s="2"/>
    </row>
    <row r="3" spans="1:7" ht="21">
      <c r="A3" s="3" t="s">
        <v>5</v>
      </c>
      <c r="B3" s="2"/>
      <c r="C3" s="2"/>
      <c r="D3" s="2"/>
    </row>
    <row r="4" spans="1:7" ht="21">
      <c r="A4" s="3" t="s">
        <v>6</v>
      </c>
      <c r="B4" s="2"/>
      <c r="C4" s="2"/>
      <c r="D4" s="2"/>
    </row>
    <row r="5" spans="1:7" ht="21">
      <c r="A5" s="3" t="s">
        <v>74</v>
      </c>
      <c r="B5" s="2"/>
      <c r="C5" s="2"/>
      <c r="D5" s="2"/>
    </row>
    <row r="6" spans="1:7" ht="21">
      <c r="A6" s="67" t="s">
        <v>75</v>
      </c>
      <c r="B6" s="2"/>
      <c r="C6" s="2"/>
      <c r="D6" s="2"/>
      <c r="E6" s="2"/>
      <c r="F6" s="2"/>
    </row>
    <row r="7" spans="1:7" ht="21">
      <c r="A7" s="4" t="s">
        <v>9</v>
      </c>
      <c r="B7" s="5" t="s">
        <v>21</v>
      </c>
      <c r="C7" s="15" t="s">
        <v>61</v>
      </c>
      <c r="D7" s="11" t="s">
        <v>62</v>
      </c>
      <c r="E7" s="11" t="s">
        <v>76</v>
      </c>
      <c r="F7" s="11" t="s">
        <v>16</v>
      </c>
      <c r="G7" s="4" t="s">
        <v>73</v>
      </c>
    </row>
    <row r="8" spans="1:7" ht="21">
      <c r="A8" s="11"/>
      <c r="B8" s="16"/>
      <c r="C8" s="15"/>
      <c r="D8" s="11"/>
      <c r="E8" s="11"/>
      <c r="F8" s="11"/>
      <c r="G8" s="11"/>
    </row>
    <row r="9" spans="1:7">
      <c r="A9" s="6"/>
      <c r="B9" s="6"/>
      <c r="C9" s="6"/>
      <c r="D9" s="6"/>
      <c r="E9" s="6"/>
      <c r="F9" s="6"/>
      <c r="G9" s="6"/>
    </row>
    <row r="10" spans="1:7">
      <c r="A10" s="6"/>
      <c r="B10" s="6"/>
      <c r="C10" s="6"/>
      <c r="D10" s="6"/>
      <c r="E10" s="6"/>
      <c r="F10" s="6"/>
      <c r="G10" s="6"/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A6" sqref="A6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3" width="6.33203125" style="1" customWidth="1"/>
    <col min="4" max="4" width="8.5546875" style="1" customWidth="1"/>
    <col min="5" max="5" width="14" style="1" customWidth="1"/>
    <col min="6" max="6" width="8.44140625" style="1" customWidth="1"/>
    <col min="7" max="7" width="14.6640625" style="1" customWidth="1"/>
    <col min="8" max="16384" width="9.109375" style="1"/>
  </cols>
  <sheetData>
    <row r="1" spans="1:7" ht="21">
      <c r="A1" s="70" t="s">
        <v>0</v>
      </c>
      <c r="B1" s="70"/>
      <c r="C1" s="70"/>
      <c r="D1" s="70"/>
    </row>
    <row r="2" spans="1:7" ht="21">
      <c r="A2" s="2" t="s">
        <v>1</v>
      </c>
      <c r="B2" s="2"/>
      <c r="C2" s="2"/>
      <c r="D2" s="2"/>
    </row>
    <row r="3" spans="1:7" ht="21">
      <c r="A3" s="3" t="s">
        <v>5</v>
      </c>
      <c r="B3" s="2"/>
      <c r="C3" s="2"/>
      <c r="D3" s="2"/>
    </row>
    <row r="4" spans="1:7" ht="21">
      <c r="A4" s="3" t="s">
        <v>6</v>
      </c>
      <c r="B4" s="2"/>
      <c r="C4" s="2"/>
      <c r="D4" s="2"/>
    </row>
    <row r="5" spans="1:7" ht="21">
      <c r="A5" s="3" t="s">
        <v>74</v>
      </c>
      <c r="B5" s="2"/>
      <c r="C5" s="2"/>
      <c r="D5" s="2"/>
    </row>
    <row r="6" spans="1:7" ht="21">
      <c r="A6" s="67" t="s">
        <v>77</v>
      </c>
      <c r="B6" s="2"/>
    </row>
    <row r="7" spans="1:7" ht="21">
      <c r="A7" s="5" t="s">
        <v>9</v>
      </c>
      <c r="B7" s="36" t="s">
        <v>40</v>
      </c>
      <c r="C7" s="5" t="s">
        <v>78</v>
      </c>
      <c r="D7" s="5" t="s">
        <v>79</v>
      </c>
      <c r="E7" s="5" t="s">
        <v>80</v>
      </c>
      <c r="F7" s="5" t="s">
        <v>81</v>
      </c>
      <c r="G7" s="4" t="s">
        <v>14</v>
      </c>
    </row>
    <row r="8" spans="1:7">
      <c r="A8" s="7"/>
      <c r="B8" s="7"/>
      <c r="C8" s="7">
        <v>2</v>
      </c>
      <c r="D8" s="7">
        <v>15</v>
      </c>
      <c r="E8" s="7">
        <v>150</v>
      </c>
      <c r="F8" s="7">
        <v>20</v>
      </c>
      <c r="G8" s="37">
        <f>C8*D8*E8*F8*12</f>
        <v>1080000</v>
      </c>
    </row>
    <row r="9" spans="1:7">
      <c r="A9" s="6"/>
      <c r="B9" s="6"/>
      <c r="C9" s="38"/>
      <c r="D9" s="38"/>
      <c r="E9" s="38"/>
      <c r="F9" s="38"/>
      <c r="G9" s="38"/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zoomScale="80" zoomScaleNormal="80" workbookViewId="0">
      <selection activeCell="A4" sqref="A4"/>
    </sheetView>
  </sheetViews>
  <sheetFormatPr defaultColWidth="9.109375" defaultRowHeight="20.399999999999999"/>
  <cols>
    <col min="1" max="1" width="6.109375" style="1" customWidth="1"/>
    <col min="2" max="2" width="54.44140625" style="1" customWidth="1"/>
    <col min="3" max="3" width="15.109375" style="1" customWidth="1"/>
    <col min="4" max="4" width="14.6640625" style="1" customWidth="1"/>
    <col min="5" max="6" width="13.6640625" style="1" customWidth="1"/>
    <col min="7" max="7" width="13.5546875" style="1" customWidth="1"/>
    <col min="8" max="8" width="14.109375" style="1" customWidth="1"/>
    <col min="9" max="9" width="17.33203125" style="1" customWidth="1"/>
    <col min="10" max="10" width="13.6640625" style="1" customWidth="1"/>
    <col min="11" max="11" width="33.6640625" style="1" customWidth="1"/>
    <col min="12" max="16384" width="9.109375" style="1"/>
  </cols>
  <sheetData>
    <row r="1" spans="1:11" ht="21">
      <c r="A1" s="70" t="s">
        <v>0</v>
      </c>
      <c r="B1" s="70"/>
      <c r="C1" s="70"/>
      <c r="D1" s="70"/>
    </row>
    <row r="2" spans="1:11" ht="21">
      <c r="A2" s="2" t="s">
        <v>1</v>
      </c>
      <c r="B2" s="2"/>
      <c r="C2" s="2"/>
      <c r="D2" s="2"/>
    </row>
    <row r="3" spans="1:11" ht="21">
      <c r="A3" s="3" t="s">
        <v>82</v>
      </c>
      <c r="B3" s="2"/>
      <c r="C3" s="2"/>
      <c r="D3" s="2"/>
    </row>
    <row r="4" spans="1:11" ht="21">
      <c r="A4" s="67" t="s">
        <v>132</v>
      </c>
      <c r="B4" s="39"/>
    </row>
    <row r="5" spans="1:11" ht="122.4">
      <c r="A5" s="40" t="s">
        <v>9</v>
      </c>
      <c r="B5" s="40" t="s">
        <v>83</v>
      </c>
      <c r="C5" s="126" t="s">
        <v>84</v>
      </c>
      <c r="D5" s="127"/>
      <c r="E5" s="128" t="s">
        <v>85</v>
      </c>
      <c r="F5" s="129"/>
      <c r="G5" s="128" t="s">
        <v>86</v>
      </c>
      <c r="H5" s="129"/>
      <c r="I5" s="125" t="s">
        <v>87</v>
      </c>
      <c r="J5" s="125" t="s">
        <v>88</v>
      </c>
      <c r="K5" s="41" t="s">
        <v>89</v>
      </c>
    </row>
    <row r="6" spans="1:11" ht="102">
      <c r="A6" s="42" t="s">
        <v>47</v>
      </c>
      <c r="B6" s="42" t="s">
        <v>47</v>
      </c>
      <c r="C6" s="43" t="s">
        <v>90</v>
      </c>
      <c r="D6" s="44" t="s">
        <v>91</v>
      </c>
      <c r="E6" s="45" t="s">
        <v>92</v>
      </c>
      <c r="F6" s="45" t="s">
        <v>93</v>
      </c>
      <c r="G6" s="45" t="s">
        <v>94</v>
      </c>
      <c r="H6" s="45" t="s">
        <v>95</v>
      </c>
      <c r="I6" s="125"/>
      <c r="J6" s="125"/>
      <c r="K6" s="46" t="s">
        <v>47</v>
      </c>
    </row>
    <row r="7" spans="1:11">
      <c r="A7" s="6"/>
      <c r="B7" s="6"/>
      <c r="C7" s="6"/>
      <c r="D7" s="6"/>
      <c r="E7" s="6">
        <v>15</v>
      </c>
      <c r="F7" s="6">
        <v>8</v>
      </c>
      <c r="G7" s="6">
        <f>E7-F7</f>
        <v>7</v>
      </c>
      <c r="H7" s="6">
        <v>1</v>
      </c>
      <c r="I7" s="47">
        <v>10000</v>
      </c>
      <c r="J7" s="47">
        <f>(G7+H7)*I7</f>
        <v>80000</v>
      </c>
      <c r="K7" s="6"/>
    </row>
    <row r="8" spans="1:1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mergeCells count="6">
    <mergeCell ref="J5:J6"/>
    <mergeCell ref="A1:D1"/>
    <mergeCell ref="C5:D5"/>
    <mergeCell ref="E5:F5"/>
    <mergeCell ref="G5:H5"/>
    <mergeCell ref="I5:I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12" sqref="B12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3" width="19.44140625" style="1" customWidth="1"/>
    <col min="4" max="5" width="19" style="1" customWidth="1"/>
    <col min="6" max="16384" width="9.109375" style="1"/>
  </cols>
  <sheetData>
    <row r="1" spans="1:4" ht="21">
      <c r="A1" s="70" t="s">
        <v>0</v>
      </c>
      <c r="B1" s="70"/>
      <c r="C1" s="70"/>
      <c r="D1" s="70"/>
    </row>
    <row r="2" spans="1:4" ht="21">
      <c r="A2" s="2" t="s">
        <v>1</v>
      </c>
      <c r="B2" s="2"/>
      <c r="C2" s="2"/>
      <c r="D2" s="2"/>
    </row>
    <row r="3" spans="1:4" ht="21">
      <c r="A3" s="3" t="s">
        <v>82</v>
      </c>
      <c r="B3" s="2"/>
      <c r="C3" s="2"/>
      <c r="D3" s="2"/>
    </row>
    <row r="4" spans="1:4" ht="21">
      <c r="A4" s="67" t="s">
        <v>96</v>
      </c>
      <c r="B4" s="2"/>
      <c r="C4" s="2"/>
    </row>
    <row r="5" spans="1:4" ht="21">
      <c r="A5" s="4" t="s">
        <v>9</v>
      </c>
      <c r="B5" s="4" t="s">
        <v>21</v>
      </c>
      <c r="C5" s="11" t="s">
        <v>14</v>
      </c>
    </row>
    <row r="6" spans="1:4" ht="21">
      <c r="A6" s="11"/>
      <c r="B6" s="34"/>
      <c r="C6" s="11"/>
    </row>
  </sheetData>
  <mergeCells count="1"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4" sqref="A4"/>
    </sheetView>
  </sheetViews>
  <sheetFormatPr defaultColWidth="9.109375" defaultRowHeight="20.399999999999999"/>
  <cols>
    <col min="1" max="1" width="6.109375" style="1" customWidth="1"/>
    <col min="2" max="2" width="61" style="1" customWidth="1"/>
    <col min="3" max="3" width="19.44140625" style="1" customWidth="1"/>
    <col min="4" max="5" width="19" style="1" customWidth="1"/>
    <col min="6" max="16384" width="9.109375" style="1"/>
  </cols>
  <sheetData>
    <row r="1" spans="1:4" ht="21">
      <c r="A1" s="70" t="s">
        <v>0</v>
      </c>
      <c r="B1" s="70"/>
      <c r="C1" s="70"/>
      <c r="D1" s="70"/>
    </row>
    <row r="2" spans="1:4" ht="21">
      <c r="A2" s="2" t="s">
        <v>1</v>
      </c>
      <c r="B2" s="2"/>
      <c r="C2" s="2"/>
      <c r="D2" s="2"/>
    </row>
    <row r="3" spans="1:4" ht="21">
      <c r="A3" s="3" t="s">
        <v>82</v>
      </c>
      <c r="B3" s="2"/>
      <c r="C3" s="2"/>
      <c r="D3" s="2"/>
    </row>
    <row r="4" spans="1:4" ht="21">
      <c r="A4" s="67" t="s">
        <v>133</v>
      </c>
      <c r="B4" s="2"/>
      <c r="C4" s="2"/>
    </row>
    <row r="5" spans="1:4" ht="21">
      <c r="A5" s="4" t="s">
        <v>9</v>
      </c>
      <c r="B5" s="4" t="s">
        <v>21</v>
      </c>
      <c r="C5" s="11" t="s">
        <v>14</v>
      </c>
    </row>
    <row r="6" spans="1:4" ht="21">
      <c r="A6" s="11"/>
      <c r="B6" s="34"/>
      <c r="C6" s="11"/>
    </row>
  </sheetData>
  <mergeCells count="1"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5" sqref="A5"/>
    </sheetView>
  </sheetViews>
  <sheetFormatPr defaultColWidth="9.109375" defaultRowHeight="20.399999999999999"/>
  <cols>
    <col min="1" max="1" width="6.109375" style="17" customWidth="1"/>
    <col min="2" max="2" width="54.44140625" style="17" customWidth="1"/>
    <col min="3" max="3" width="15.109375" style="17" customWidth="1"/>
    <col min="4" max="4" width="14.6640625" style="17" customWidth="1"/>
    <col min="5" max="5" width="18.6640625" style="17" customWidth="1"/>
    <col min="6" max="6" width="19.5546875" style="17" customWidth="1"/>
    <col min="7" max="7" width="17.33203125" style="17" customWidth="1"/>
    <col min="8" max="8" width="13.6640625" style="17" customWidth="1"/>
    <col min="9" max="9" width="14.109375" style="17" customWidth="1"/>
    <col min="10" max="10" width="13.109375" style="17" customWidth="1"/>
    <col min="11" max="11" width="17.6640625" style="17" customWidth="1"/>
    <col min="12" max="12" width="33.6640625" style="17" customWidth="1"/>
    <col min="13" max="16384" width="9.109375" style="17"/>
  </cols>
  <sheetData>
    <row r="1" spans="1:4" s="1" customFormat="1" ht="21">
      <c r="A1" s="70" t="s">
        <v>0</v>
      </c>
      <c r="B1" s="70"/>
      <c r="C1" s="70"/>
      <c r="D1" s="70"/>
    </row>
    <row r="2" spans="1:4" s="1" customFormat="1" ht="21">
      <c r="A2" s="2" t="s">
        <v>1</v>
      </c>
      <c r="B2" s="2"/>
      <c r="C2" s="2"/>
      <c r="D2" s="2"/>
    </row>
    <row r="3" spans="1:4" s="1" customFormat="1" ht="21">
      <c r="A3" s="3" t="s">
        <v>82</v>
      </c>
      <c r="B3" s="2"/>
      <c r="C3" s="2"/>
      <c r="D3" s="2"/>
    </row>
    <row r="4" spans="1:4" ht="21">
      <c r="A4" s="18" t="s">
        <v>97</v>
      </c>
      <c r="B4" s="48"/>
    </row>
    <row r="5" spans="1:4" ht="21">
      <c r="A5" s="69" t="s">
        <v>98</v>
      </c>
      <c r="B5" s="48"/>
    </row>
    <row r="6" spans="1:4" ht="21">
      <c r="A6" s="4" t="s">
        <v>9</v>
      </c>
      <c r="B6" s="4" t="s">
        <v>21</v>
      </c>
      <c r="C6" s="11" t="s">
        <v>14</v>
      </c>
      <c r="D6" s="11" t="s">
        <v>73</v>
      </c>
    </row>
    <row r="7" spans="1:4" ht="21">
      <c r="A7" s="11"/>
      <c r="B7" s="11"/>
      <c r="C7" s="11"/>
      <c r="D7" s="11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</sheetData>
  <mergeCells count="1"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5" sqref="A5"/>
    </sheetView>
  </sheetViews>
  <sheetFormatPr defaultColWidth="9.109375" defaultRowHeight="20.399999999999999"/>
  <cols>
    <col min="1" max="1" width="6.109375" style="17" customWidth="1"/>
    <col min="2" max="2" width="54.44140625" style="17" customWidth="1"/>
    <col min="3" max="3" width="15.109375" style="17" customWidth="1"/>
    <col min="4" max="4" width="14.6640625" style="17" customWidth="1"/>
    <col min="5" max="5" width="18.6640625" style="17" customWidth="1"/>
    <col min="6" max="6" width="19.5546875" style="17" customWidth="1"/>
    <col min="7" max="7" width="17.33203125" style="17" customWidth="1"/>
    <col min="8" max="8" width="13.6640625" style="17" customWidth="1"/>
    <col min="9" max="9" width="14.109375" style="17" customWidth="1"/>
    <col min="10" max="10" width="13.109375" style="17" customWidth="1"/>
    <col min="11" max="11" width="17.6640625" style="17" customWidth="1"/>
    <col min="12" max="12" width="33.6640625" style="17" customWidth="1"/>
    <col min="13" max="16384" width="9.109375" style="17"/>
  </cols>
  <sheetData>
    <row r="1" spans="1:4" s="1" customFormat="1" ht="21">
      <c r="A1" s="70" t="s">
        <v>0</v>
      </c>
      <c r="B1" s="70"/>
      <c r="C1" s="70"/>
      <c r="D1" s="70"/>
    </row>
    <row r="2" spans="1:4" s="1" customFormat="1" ht="21">
      <c r="A2" s="2" t="s">
        <v>1</v>
      </c>
      <c r="B2" s="2"/>
      <c r="C2" s="2"/>
      <c r="D2" s="2"/>
    </row>
    <row r="3" spans="1:4" s="1" customFormat="1" ht="21">
      <c r="A3" s="3" t="s">
        <v>82</v>
      </c>
      <c r="B3" s="2"/>
      <c r="C3" s="2"/>
      <c r="D3" s="2"/>
    </row>
    <row r="4" spans="1:4" ht="21">
      <c r="A4" s="18" t="s">
        <v>97</v>
      </c>
      <c r="B4" s="48"/>
    </row>
    <row r="5" spans="1:4" ht="21">
      <c r="A5" s="69" t="s">
        <v>99</v>
      </c>
      <c r="B5" s="48"/>
    </row>
    <row r="6" spans="1:4" ht="21">
      <c r="A6" s="4" t="s">
        <v>9</v>
      </c>
      <c r="B6" s="4" t="s">
        <v>21</v>
      </c>
      <c r="C6" s="11" t="s">
        <v>14</v>
      </c>
      <c r="D6" s="11" t="s">
        <v>73</v>
      </c>
    </row>
    <row r="7" spans="1:4" ht="21">
      <c r="A7" s="11"/>
      <c r="B7" s="11"/>
      <c r="C7" s="11"/>
      <c r="D7" s="11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</sheetData>
  <mergeCells count="1">
    <mergeCell ref="A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5" sqref="A5"/>
    </sheetView>
  </sheetViews>
  <sheetFormatPr defaultColWidth="9.109375" defaultRowHeight="20.399999999999999"/>
  <cols>
    <col min="1" max="1" width="6.109375" style="17" customWidth="1"/>
    <col min="2" max="2" width="54.44140625" style="17" customWidth="1"/>
    <col min="3" max="3" width="15.109375" style="17" customWidth="1"/>
    <col min="4" max="4" width="14.6640625" style="17" customWidth="1"/>
    <col min="5" max="5" width="18.6640625" style="17" customWidth="1"/>
    <col min="6" max="6" width="19.5546875" style="17" customWidth="1"/>
    <col min="7" max="7" width="17.33203125" style="17" customWidth="1"/>
    <col min="8" max="8" width="13.6640625" style="17" customWidth="1"/>
    <col min="9" max="9" width="14.109375" style="17" customWidth="1"/>
    <col min="10" max="10" width="13.109375" style="17" customWidth="1"/>
    <col min="11" max="11" width="17.6640625" style="17" customWidth="1"/>
    <col min="12" max="12" width="33.6640625" style="17" customWidth="1"/>
    <col min="13" max="16384" width="9.109375" style="17"/>
  </cols>
  <sheetData>
    <row r="1" spans="1:4" s="1" customFormat="1" ht="21">
      <c r="A1" s="70" t="s">
        <v>0</v>
      </c>
      <c r="B1" s="70"/>
      <c r="C1" s="70"/>
      <c r="D1" s="70"/>
    </row>
    <row r="2" spans="1:4" s="1" customFormat="1" ht="21">
      <c r="A2" s="2" t="s">
        <v>1</v>
      </c>
      <c r="B2" s="2"/>
      <c r="C2" s="2"/>
      <c r="D2" s="2"/>
    </row>
    <row r="3" spans="1:4" s="1" customFormat="1" ht="21">
      <c r="A3" s="3" t="s">
        <v>82</v>
      </c>
      <c r="B3" s="2"/>
      <c r="C3" s="2"/>
      <c r="D3" s="2"/>
    </row>
    <row r="4" spans="1:4" ht="21">
      <c r="A4" s="18" t="s">
        <v>97</v>
      </c>
      <c r="B4" s="48"/>
    </row>
    <row r="5" spans="1:4" ht="21">
      <c r="A5" s="69" t="s">
        <v>100</v>
      </c>
      <c r="B5" s="48"/>
    </row>
    <row r="6" spans="1:4" ht="21">
      <c r="A6" s="4" t="s">
        <v>9</v>
      </c>
      <c r="B6" s="4" t="s">
        <v>21</v>
      </c>
      <c r="C6" s="11" t="s">
        <v>14</v>
      </c>
      <c r="D6" s="11" t="s">
        <v>73</v>
      </c>
    </row>
    <row r="7" spans="1:4" ht="21">
      <c r="A7" s="11"/>
      <c r="B7" s="11"/>
      <c r="C7" s="11"/>
      <c r="D7" s="11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</sheetData>
  <mergeCells count="1"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4" sqref="A4"/>
    </sheetView>
  </sheetViews>
  <sheetFormatPr defaultColWidth="9.109375" defaultRowHeight="20.399999999999999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3320312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3320312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33203125" style="1" customWidth="1"/>
    <col min="27" max="27" width="10.6640625" style="1" customWidth="1"/>
    <col min="28" max="16384" width="9.109375" style="1"/>
  </cols>
  <sheetData>
    <row r="1" spans="1:3" ht="21">
      <c r="A1" s="70" t="s">
        <v>0</v>
      </c>
      <c r="B1" s="70"/>
      <c r="C1" s="70"/>
    </row>
    <row r="2" spans="1:3" ht="21">
      <c r="A2" s="2" t="s">
        <v>1</v>
      </c>
      <c r="B2" s="2"/>
      <c r="C2" s="2"/>
    </row>
    <row r="3" spans="1:3" ht="21">
      <c r="A3" s="3" t="s">
        <v>101</v>
      </c>
      <c r="B3" s="2"/>
      <c r="C3" s="2"/>
    </row>
    <row r="4" spans="1:3" s="17" customFormat="1" ht="21">
      <c r="A4" s="69" t="s">
        <v>117</v>
      </c>
      <c r="B4" s="48"/>
    </row>
    <row r="5" spans="1:3">
      <c r="A5" s="49" t="s">
        <v>9</v>
      </c>
      <c r="B5" s="49" t="s">
        <v>102</v>
      </c>
      <c r="C5" s="49" t="s">
        <v>14</v>
      </c>
    </row>
    <row r="6" spans="1:3">
      <c r="A6" s="6"/>
      <c r="B6" s="6"/>
      <c r="C6" s="6"/>
    </row>
    <row r="7" spans="1:3">
      <c r="A7" s="6"/>
      <c r="B7" s="6"/>
      <c r="C7" s="6"/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4" sqref="A4"/>
    </sheetView>
  </sheetViews>
  <sheetFormatPr defaultColWidth="9.109375" defaultRowHeight="20.399999999999999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3320312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3320312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33203125" style="1" customWidth="1"/>
    <col min="27" max="27" width="10.6640625" style="1" customWidth="1"/>
    <col min="28" max="16384" width="9.109375" style="1"/>
  </cols>
  <sheetData>
    <row r="1" spans="1:3" ht="21">
      <c r="A1" s="70" t="s">
        <v>0</v>
      </c>
      <c r="B1" s="70"/>
      <c r="C1" s="70"/>
    </row>
    <row r="2" spans="1:3" ht="21">
      <c r="A2" s="2" t="s">
        <v>1</v>
      </c>
      <c r="B2" s="2"/>
      <c r="C2" s="2"/>
    </row>
    <row r="3" spans="1:3" ht="21">
      <c r="A3" s="3" t="s">
        <v>101</v>
      </c>
      <c r="B3" s="2"/>
      <c r="C3" s="2"/>
    </row>
    <row r="4" spans="1:3" s="17" customFormat="1" ht="21">
      <c r="A4" s="69" t="s">
        <v>103</v>
      </c>
      <c r="B4" s="48"/>
    </row>
    <row r="5" spans="1:3">
      <c r="A5" s="49" t="s">
        <v>9</v>
      </c>
      <c r="B5" s="49" t="s">
        <v>102</v>
      </c>
      <c r="C5" s="49" t="s">
        <v>14</v>
      </c>
    </row>
    <row r="6" spans="1:3">
      <c r="A6" s="6"/>
      <c r="B6" s="6"/>
      <c r="C6" s="6"/>
    </row>
    <row r="7" spans="1:3">
      <c r="A7" s="6"/>
      <c r="B7" s="6"/>
      <c r="C7" s="6"/>
    </row>
  </sheetData>
  <mergeCells count="1">
    <mergeCell ref="A1: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4" sqref="A4"/>
    </sheetView>
  </sheetViews>
  <sheetFormatPr defaultColWidth="9.109375" defaultRowHeight="20.399999999999999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3320312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3320312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33203125" style="1" customWidth="1"/>
    <col min="27" max="27" width="10.6640625" style="1" customWidth="1"/>
    <col min="28" max="16384" width="9.109375" style="1"/>
  </cols>
  <sheetData>
    <row r="1" spans="1:3" ht="21">
      <c r="A1" s="70" t="s">
        <v>0</v>
      </c>
      <c r="B1" s="70"/>
      <c r="C1" s="70"/>
    </row>
    <row r="2" spans="1:3" ht="21">
      <c r="A2" s="2" t="s">
        <v>1</v>
      </c>
      <c r="B2" s="2"/>
      <c r="C2" s="2"/>
    </row>
    <row r="3" spans="1:3" ht="21">
      <c r="A3" s="3" t="s">
        <v>101</v>
      </c>
      <c r="B3" s="2"/>
      <c r="C3" s="2"/>
    </row>
    <row r="4" spans="1:3" s="17" customFormat="1" ht="21">
      <c r="A4" s="69" t="s">
        <v>104</v>
      </c>
      <c r="B4" s="48"/>
    </row>
    <row r="5" spans="1:3">
      <c r="A5" s="49" t="s">
        <v>9</v>
      </c>
      <c r="B5" s="49" t="s">
        <v>102</v>
      </c>
      <c r="C5" s="49" t="s">
        <v>14</v>
      </c>
    </row>
    <row r="6" spans="1:3">
      <c r="A6" s="6"/>
      <c r="B6" s="6"/>
      <c r="C6" s="6"/>
    </row>
    <row r="7" spans="1:3">
      <c r="A7" s="6"/>
      <c r="B7" s="6"/>
      <c r="C7" s="6"/>
    </row>
  </sheetData>
  <mergeCells count="1">
    <mergeCell ref="A1: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4" sqref="A4"/>
    </sheetView>
  </sheetViews>
  <sheetFormatPr defaultColWidth="9.109375" defaultRowHeight="20.399999999999999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3320312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3320312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33203125" style="1" customWidth="1"/>
    <col min="27" max="27" width="10.6640625" style="1" customWidth="1"/>
    <col min="28" max="16384" width="9.109375" style="1"/>
  </cols>
  <sheetData>
    <row r="1" spans="1:3" ht="21">
      <c r="A1" s="70" t="s">
        <v>0</v>
      </c>
      <c r="B1" s="70"/>
      <c r="C1" s="70"/>
    </row>
    <row r="2" spans="1:3" ht="21">
      <c r="A2" s="2" t="s">
        <v>1</v>
      </c>
      <c r="B2" s="2"/>
      <c r="C2" s="2"/>
    </row>
    <row r="3" spans="1:3" ht="21">
      <c r="A3" s="3" t="s">
        <v>101</v>
      </c>
      <c r="B3" s="2"/>
      <c r="C3" s="2"/>
    </row>
    <row r="4" spans="1:3" s="17" customFormat="1" ht="21">
      <c r="A4" s="69" t="s">
        <v>105</v>
      </c>
      <c r="B4" s="48"/>
    </row>
    <row r="5" spans="1:3">
      <c r="A5" s="49" t="s">
        <v>9</v>
      </c>
      <c r="B5" s="49" t="s">
        <v>102</v>
      </c>
      <c r="C5" s="49" t="s">
        <v>14</v>
      </c>
    </row>
    <row r="6" spans="1:3">
      <c r="A6" s="6"/>
      <c r="B6" s="6"/>
      <c r="C6" s="6"/>
    </row>
    <row r="7" spans="1:3">
      <c r="A7" s="6"/>
      <c r="B7" s="6"/>
      <c r="C7" s="6"/>
    </row>
  </sheetData>
  <mergeCells count="1">
    <mergeCell ref="A1:C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4" sqref="A4"/>
    </sheetView>
  </sheetViews>
  <sheetFormatPr defaultColWidth="9.109375" defaultRowHeight="20.399999999999999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3320312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3320312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33203125" style="1" customWidth="1"/>
    <col min="27" max="27" width="10.6640625" style="1" customWidth="1"/>
    <col min="28" max="16384" width="9.109375" style="1"/>
  </cols>
  <sheetData>
    <row r="1" spans="1:3" ht="21">
      <c r="A1" s="70" t="s">
        <v>0</v>
      </c>
      <c r="B1" s="70"/>
      <c r="C1" s="70"/>
    </row>
    <row r="2" spans="1:3" ht="21">
      <c r="A2" s="2" t="s">
        <v>1</v>
      </c>
      <c r="B2" s="2"/>
      <c r="C2" s="2"/>
    </row>
    <row r="3" spans="1:3" ht="21">
      <c r="A3" s="59" t="s">
        <v>101</v>
      </c>
      <c r="B3" s="2"/>
      <c r="C3" s="2"/>
    </row>
    <row r="4" spans="1:3" s="17" customFormat="1" ht="21">
      <c r="A4" s="69" t="s">
        <v>106</v>
      </c>
      <c r="B4" s="48"/>
    </row>
    <row r="5" spans="1:3">
      <c r="A5" s="49" t="s">
        <v>9</v>
      </c>
      <c r="B5" s="49" t="s">
        <v>102</v>
      </c>
      <c r="C5" s="49" t="s">
        <v>14</v>
      </c>
    </row>
    <row r="6" spans="1:3">
      <c r="A6" s="6"/>
      <c r="B6" s="6"/>
      <c r="C6" s="6"/>
    </row>
    <row r="7" spans="1:3">
      <c r="A7" s="6"/>
      <c r="B7" s="6"/>
      <c r="C7" s="6"/>
    </row>
  </sheetData>
  <mergeCells count="1">
    <mergeCell ref="A1:C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3" sqref="A3"/>
    </sheetView>
  </sheetViews>
  <sheetFormatPr defaultColWidth="9.109375" defaultRowHeight="20.399999999999999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3320312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3320312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33203125" style="1" customWidth="1"/>
    <col min="27" max="27" width="10.6640625" style="1" customWidth="1"/>
    <col min="28" max="16384" width="9.109375" style="1"/>
  </cols>
  <sheetData>
    <row r="1" spans="1:3" ht="21">
      <c r="A1" s="70" t="s">
        <v>0</v>
      </c>
      <c r="B1" s="70"/>
      <c r="C1" s="70"/>
    </row>
    <row r="2" spans="1:3" ht="21">
      <c r="A2" s="2" t="s">
        <v>1</v>
      </c>
      <c r="B2" s="2"/>
      <c r="C2" s="2"/>
    </row>
    <row r="3" spans="1:3" s="17" customFormat="1" ht="21">
      <c r="A3" s="69" t="s">
        <v>128</v>
      </c>
      <c r="B3" s="48"/>
    </row>
    <row r="4" spans="1:3">
      <c r="A4" s="49" t="s">
        <v>9</v>
      </c>
      <c r="B4" s="49" t="s">
        <v>102</v>
      </c>
      <c r="C4" s="49" t="s">
        <v>14</v>
      </c>
    </row>
    <row r="5" spans="1:3">
      <c r="A5" s="6"/>
      <c r="B5" s="6"/>
      <c r="C5" s="6"/>
    </row>
    <row r="6" spans="1:3">
      <c r="A6" s="6"/>
      <c r="B6" s="6"/>
      <c r="C6" s="6"/>
    </row>
  </sheetData>
  <mergeCells count="1">
    <mergeCell ref="A1:C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3" sqref="A3"/>
    </sheetView>
  </sheetViews>
  <sheetFormatPr defaultColWidth="9.109375" defaultRowHeight="20.399999999999999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3320312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3320312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33203125" style="1" customWidth="1"/>
    <col min="27" max="27" width="10.6640625" style="1" customWidth="1"/>
    <col min="28" max="16384" width="9.109375" style="1"/>
  </cols>
  <sheetData>
    <row r="1" spans="1:3" ht="21">
      <c r="A1" s="70" t="s">
        <v>0</v>
      </c>
      <c r="B1" s="70"/>
      <c r="C1" s="70"/>
    </row>
    <row r="2" spans="1:3" ht="21">
      <c r="A2" s="2" t="s">
        <v>1</v>
      </c>
      <c r="B2" s="2"/>
      <c r="C2" s="2"/>
    </row>
    <row r="3" spans="1:3" s="17" customFormat="1" ht="21">
      <c r="A3" s="69" t="s">
        <v>129</v>
      </c>
      <c r="B3" s="48"/>
    </row>
    <row r="4" spans="1:3">
      <c r="A4" s="49" t="s">
        <v>9</v>
      </c>
      <c r="B4" s="49" t="s">
        <v>102</v>
      </c>
      <c r="C4" s="49" t="s">
        <v>14</v>
      </c>
    </row>
    <row r="5" spans="1:3">
      <c r="A5" s="6"/>
      <c r="B5" s="6"/>
      <c r="C5" s="6"/>
    </row>
    <row r="6" spans="1:3">
      <c r="A6" s="6"/>
      <c r="B6" s="6"/>
      <c r="C6" s="6"/>
    </row>
  </sheetData>
  <mergeCells count="1">
    <mergeCell ref="A1:C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11" sqref="E11"/>
    </sheetView>
  </sheetViews>
  <sheetFormatPr defaultColWidth="9.109375" defaultRowHeight="20.399999999999999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3320312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3320312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33203125" style="1" customWidth="1"/>
    <col min="27" max="27" width="10.6640625" style="1" customWidth="1"/>
    <col min="28" max="16384" width="9.109375" style="1"/>
  </cols>
  <sheetData>
    <row r="1" spans="1:3" ht="21">
      <c r="A1" s="70" t="s">
        <v>0</v>
      </c>
      <c r="B1" s="70"/>
      <c r="C1" s="70"/>
    </row>
    <row r="2" spans="1:3" ht="21">
      <c r="A2" s="2" t="s">
        <v>1</v>
      </c>
      <c r="B2" s="2"/>
      <c r="C2" s="2"/>
    </row>
    <row r="3" spans="1:3" s="17" customFormat="1" ht="21">
      <c r="A3" s="69" t="s">
        <v>130</v>
      </c>
      <c r="B3" s="48"/>
    </row>
    <row r="4" spans="1:3">
      <c r="A4" s="49" t="s">
        <v>9</v>
      </c>
      <c r="B4" s="49" t="s">
        <v>102</v>
      </c>
      <c r="C4" s="49" t="s">
        <v>14</v>
      </c>
    </row>
    <row r="5" spans="1:3">
      <c r="A5" s="6"/>
      <c r="B5" s="6"/>
      <c r="C5" s="6"/>
    </row>
    <row r="6" spans="1:3">
      <c r="A6" s="6"/>
      <c r="B6" s="6"/>
      <c r="C6" s="6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นอกเวลา</vt:lpstr>
      <vt:lpstr>ภาคใต้</vt:lpstr>
      <vt:lpstr>อุตสาหกรรม</vt:lpstr>
      <vt:lpstr>ค่าเบี้ยประชุม</vt:lpstr>
      <vt:lpstr>เกษียณ</vt:lpstr>
      <vt:lpstr>ค่าเบี้ยเลี้ยง</vt:lpstr>
      <vt:lpstr>ประชาสัมพันธ์</vt:lpstr>
      <vt:lpstr>ครุภัณฑ์</vt:lpstr>
      <vt:lpstr>ยานพาหนะ</vt:lpstr>
      <vt:lpstr>อบรม</vt:lpstr>
      <vt:lpstr>ma</vt:lpstr>
      <vt:lpstr>เหมาบริการ</vt:lpstr>
      <vt:lpstr>เงินทดแทน</vt:lpstr>
      <vt:lpstr>ประกันสังคม</vt:lpstr>
      <vt:lpstr>ค่าใช้สอยอื่นๆ</vt:lpstr>
      <vt:lpstr>วัสดุสำนักงาน</vt:lpstr>
      <vt:lpstr>วัสดุเชื้อเพลิง</vt:lpstr>
      <vt:lpstr> ครุภัณ์ สนง</vt:lpstr>
      <vt:lpstr>ครุภัณฑ์ คอม</vt:lpstr>
      <vt:lpstr>ครุภัณฑ์อื่นๆ</vt:lpstr>
      <vt:lpstr>ค่าปรับปรุงสนง</vt:lpstr>
      <vt:lpstr>ค่าก่อสร้างบ้านพักข้าราชการ</vt:lpstr>
      <vt:lpstr>ค่าก่อสร้าง สนง</vt:lpstr>
      <vt:lpstr>อบรมในประเทศ</vt:lpstr>
      <vt:lpstr>ประชุมต่างประเทศ</vt:lpstr>
      <vt:lpstr>จ้างที่ปรึกษา</vt:lpstr>
      <vt:lpstr>ทุนการศึกษา</vt:lpstr>
      <vt:lpstr>ตรวจสุขภาพ </vt:lpstr>
      <vt:lpstr>การคลัง</vt:lpstr>
      <vt:lpstr>พัฒนาบุคลากร</vt:lpstr>
      <vt:lpstr>ธนารักษ์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Bally</dc:creator>
  <cp:lastModifiedBy>takky -</cp:lastModifiedBy>
  <dcterms:created xsi:type="dcterms:W3CDTF">2020-04-02T09:24:37Z</dcterms:created>
  <dcterms:modified xsi:type="dcterms:W3CDTF">2020-04-14T18:21:39Z</dcterms:modified>
</cp:coreProperties>
</file>